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3852" documentId="8_{231760F8-40C3-4E52-9138-CD9DD8E2170C}" xr6:coauthVersionLast="47" xr6:coauthVersionMax="47" xr10:uidLastSave="{369CDB6C-3AB0-4740-8ADE-8E75C213342C}"/>
  <bookViews>
    <workbookView xWindow="-110" yWindow="-110" windowWidth="19420" windowHeight="11500" activeTab="2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Sheet1!$A$2:$CP$63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<sst xmlns="http://schemas.openxmlformats.org/spreadsheetml/2006/main" count="1894" uniqueCount="162">
  <si>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</si>
  <si>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</si>
  <si>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</si>
  <si>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</si>
  <si>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</si>
  <si>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</si>
  <si>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</si>
  <si>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</si>
  <si>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</si>
  <si>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</si>
  <si>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</si>
  <si>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</si>
  <si>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</si>
  <si>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</si>
  <si>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</si>
  <si>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</si>
  <si>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</si>
  <si>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</si>
  <si>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</si>
  <si>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</si>
  <si>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</si>
  <si>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</si>
  <si>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</si>
  <si>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</si>
  <si>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</si>
  <si>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</si>
  <si>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</si>
  <si>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</si>
  <si>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</si>
  <si>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</si>
  <si>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</si>
  <si>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</si>
  <si>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</si>
  <si>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</si>
  <si>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</si>
  <si>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</si>
  <si>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</si>
  <si>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</si>
  <si>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</si>
  <si>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</si>
  <si>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</si>
  <si>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</si>
  <si>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</si>
  <si>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</si>
  <si>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</si>
  <si>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</si>
  <si>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</si>
  <si>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</si>
  <si>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</si>
  <si>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</si>
  <si>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</si>
  <si>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</si>
  <si>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</si>
  <si>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</si>
  <si>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</si>
  <si>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</si>
  <si>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</si>
  <si>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</si>
  <si>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</si>
  <si>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</si>
  <si>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</si>
  <si>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</si>
  <si>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</si>
  <si>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</si>
  <si>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</si>
  <si>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</si>
  <si>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</si>
  <si>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</si>
  <si>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</si>
  <si>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</si>
  <si>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</si>
  <si>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</si>
  <si>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</si>
  <si>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</si>
  <si>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</si>
  <si>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</si>
  <si>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</si>
  <si>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</si>
  <si>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</si>
  <si>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</si>
  <si>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</si>
  <si>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</si>
  <si>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</si>
  <si>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</si>
  <si>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Parul Jain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</si>
  <si>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</si>
  <si>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</si>
  <si>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</si>
  <si>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</si>
  <si>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</si>
  <si>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</si>
  <si>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</si>
  <si>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</si>
  <si>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</si>
  <si>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</si>
  <si>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</si>
  <si>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</si>
  <si>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</si>
  <si>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</si>
  <si>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</si>
  <si>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</si>
  <si>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</si>
  <si>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</si>
  <si>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</si>
  <si>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</si>
  <si>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</si>
  <si>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</si>
  <si>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</si>
  <si>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</si>
  <si>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</si>
  <si>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</si>
  <si>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</si>
  <si>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</si>
  <si>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</si>
  <si>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</si>
  <si>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</si>
  <si>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</si>
  <si>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</si>
  <si>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</si>
  <si>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</si>
  <si>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</si>
  <si>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</si>
  <si>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</si>
  <si>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</si>
  <si>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</si>
  <si>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</si>
  <si>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</si>
  <si>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</si>
  <si>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</si>
  <si>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</si>
  <si>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</si>
  <si>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</si>
  <si>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</si>
  <si>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</si>
  <si>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</si>
  <si>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</si>
  <si>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</si>
  <si>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</si>
  <si>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</si>
  <si>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</si>
  <si>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</si>
  <si>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</si>
  <si>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</si>
  <si>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</si>
  <si>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</si>
  <si>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</si>
  <si>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</si>
  <si>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</si>
  <si>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</si>
  <si>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</si>
  <si>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</si>
  <si>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</si>
  <si>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</si>
  <si>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</si>
  <si>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Satyanarayana Ruttala</t>
  </si>
  <si>
    <t>Subramanyapavan Jonnalagadda</t>
  </si>
  <si>
    <t>Acutal Collection</t>
  </si>
  <si>
    <t>Not Applicable</t>
  </si>
  <si>
    <t>YTD Total</t>
  </si>
  <si>
    <t>Vertical</t>
  </si>
  <si>
    <t>Non TARA</t>
  </si>
  <si>
    <t>TARA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</si>
</sst>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9" t="s">
        <v>24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V1" s="41" t="s">
        <v>29</v>
      </c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J1" s="39" t="s">
        <v>31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X1" s="41" t="s">
        <v>32</v>
      </c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L1" s="40" t="s">
        <v>33</v>
      </c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Z1" s="38" t="s">
        <v>75</v>
      </c>
      <c r="CA1" s="38"/>
      <c r="CB1" s="38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92</v>
      </c>
      <c r="CN1" s="20" t="s">
        <v>94</v>
      </c>
      <c r="CP1" s="20" t="s">
        <v>35</v>
      </c>
    </row>
    <row r="2" spans="1:94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28</v>
      </c>
      <c r="R2" s="11" t="s">
        <v>124</v>
      </c>
      <c r="S2" s="11" t="s">
        <v>125</v>
      </c>
      <c r="T2" s="11" t="s">
        <v>126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103</v>
      </c>
      <c r="AC2" s="1" t="s">
        <v>102</v>
      </c>
      <c r="AD2" s="1" t="s">
        <v>34</v>
      </c>
      <c r="AE2" s="1" t="s">
        <v>28</v>
      </c>
      <c r="AF2" s="11" t="s">
        <v>124</v>
      </c>
      <c r="AG2" s="11" t="s">
        <v>125</v>
      </c>
      <c r="AH2" s="11" t="s">
        <v>126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103</v>
      </c>
      <c r="AQ2" s="1" t="s">
        <v>102</v>
      </c>
      <c r="AR2" s="1" t="s">
        <v>34</v>
      </c>
      <c r="AS2" s="1" t="s">
        <v>28</v>
      </c>
      <c r="AT2" s="11" t="s">
        <v>124</v>
      </c>
      <c r="AU2" s="11" t="s">
        <v>125</v>
      </c>
      <c r="AV2" s="11" t="s">
        <v>126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103</v>
      </c>
      <c r="BE2" s="1" t="s">
        <v>102</v>
      </c>
      <c r="BF2" s="1" t="s">
        <v>34</v>
      </c>
      <c r="BG2" s="1" t="s">
        <v>28</v>
      </c>
      <c r="BH2" s="11" t="s">
        <v>124</v>
      </c>
      <c r="BI2" s="11" t="s">
        <v>125</v>
      </c>
      <c r="BJ2" s="11" t="s">
        <v>126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103</v>
      </c>
      <c r="BS2" s="1" t="s">
        <v>102</v>
      </c>
      <c r="BT2" s="1" t="s">
        <v>34</v>
      </c>
      <c r="BU2" s="1" t="s">
        <v>28</v>
      </c>
      <c r="BV2" s="11" t="s">
        <v>124</v>
      </c>
      <c r="BW2" s="11" t="s">
        <v>125</v>
      </c>
      <c r="BX2" s="11" t="s">
        <v>126</v>
      </c>
      <c r="BZ2" s="10" t="s">
        <v>76</v>
      </c>
      <c r="CA2" s="10" t="s">
        <v>77</v>
      </c>
      <c r="CB2" s="10" t="s">
        <v>101</v>
      </c>
      <c r="CD2" s="11" t="s">
        <v>99</v>
      </c>
      <c r="CF2" s="11" t="s">
        <v>100</v>
      </c>
      <c r="CH2" s="11" t="s">
        <v>88</v>
      </c>
      <c r="CJ2" s="11" t="s">
        <v>89</v>
      </c>
      <c r="CL2" s="11" t="s">
        <v>93</v>
      </c>
      <c r="CN2" s="11" t="s">
        <v>95</v>
      </c>
      <c r="CP2" s="11" t="s">
        <v>98</v>
      </c>
    </row>
    <row r="3" spans="1:94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1">
        <v>362.79999999999995</v>
      </c>
      <c r="S3" s="31">
        <v>243.20000000000002</v>
      </c>
      <c r="T3" s="31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1"/>
      <c r="AG3" s="31"/>
      <c r="AH3" s="31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1"/>
      <c r="AU3" s="31"/>
      <c r="AV3" s="31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2"/>
      <c r="BI3" s="32"/>
      <c r="BJ3" s="32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30"/>
      <c r="BW3" s="30"/>
      <c r="BX3" s="30"/>
      <c r="BZ3" s="5" t="s">
        <v>90</v>
      </c>
      <c r="CA3" s="5" t="s">
        <v>90</v>
      </c>
      <c r="CB3" s="5" t="s">
        <v>90</v>
      </c>
      <c r="CF3">
        <v>176.11369999999999</v>
      </c>
      <c r="CJ3" s="5" t="s">
        <v>91</v>
      </c>
      <c r="CL3" t="s">
        <v>91</v>
      </c>
      <c r="CN3" s="5" t="s">
        <v>96</v>
      </c>
      <c r="CP3" t="s">
        <v>90</v>
      </c>
    </row>
    <row r="4" spans="1:94" x14ac:dyDescent="0.35">
      <c r="A4" s="3" t="s">
        <v>60</v>
      </c>
      <c r="B4" s="3" t="s">
        <v>160</v>
      </c>
      <c r="C4" s="2" t="s">
        <v>144</v>
      </c>
      <c r="D4" s="3" t="s">
        <v>84</v>
      </c>
      <c r="E4" s="2" t="s">
        <v>107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123</v>
      </c>
      <c r="Q4" s="7">
        <v>0</v>
      </c>
      <c r="R4" s="31">
        <v>3</v>
      </c>
      <c r="S4" s="31">
        <v>6</v>
      </c>
      <c r="T4" s="31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30"/>
      <c r="AG4" s="30"/>
      <c r="AH4" s="30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30"/>
      <c r="AU4" s="30"/>
      <c r="AV4" s="30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30"/>
      <c r="BI4" s="30"/>
      <c r="BJ4" s="30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30"/>
      <c r="BW4" s="30"/>
      <c r="BX4" s="30"/>
      <c r="BZ4" s="5" t="s">
        <v>90</v>
      </c>
      <c r="CA4" s="5" t="s">
        <v>90</v>
      </c>
      <c r="CB4" s="5" t="s">
        <v>90</v>
      </c>
      <c r="CD4" s="21"/>
      <c r="CF4">
        <v>7.25</v>
      </c>
      <c r="CJ4" s="5" t="s">
        <v>91</v>
      </c>
      <c r="CL4" t="s">
        <v>91</v>
      </c>
      <c r="CN4" s="5" t="s">
        <v>96</v>
      </c>
      <c r="CP4" t="s">
        <v>91</v>
      </c>
    </row>
    <row r="5" spans="1:94" x14ac:dyDescent="0.35">
      <c r="A5" s="3" t="s">
        <v>7</v>
      </c>
      <c r="B5" s="3" t="s">
        <v>160</v>
      </c>
      <c r="C5" s="3" t="s">
        <v>142</v>
      </c>
      <c r="D5" s="3" t="s">
        <v>83</v>
      </c>
      <c r="E5" s="25" t="s">
        <v>107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1">
        <v>22</v>
      </c>
      <c r="S5" s="31">
        <v>11</v>
      </c>
      <c r="T5" s="31">
        <f t="shared" si="6"/>
        <v>33</v>
      </c>
      <c r="U5" s="15"/>
      <c r="V5" s="7">
        <v>24</v>
      </c>
      <c r="W5" s="7">
        <v>24</v>
      </c>
      <c r="X5" s="3">
        <v>7.1946064492771349</v>
      </c>
      <c r="Y5" s="4">
        <f t="shared" si="7"/>
        <v>0.29977526871988064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30"/>
      <c r="AG5" s="30"/>
      <c r="AH5" s="30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30"/>
      <c r="AU5" s="30"/>
      <c r="AV5" s="30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30"/>
      <c r="BI5" s="30"/>
      <c r="BJ5" s="30"/>
      <c r="BL5" s="17">
        <f t="shared" si="1"/>
        <v>80</v>
      </c>
      <c r="BM5" s="17">
        <f t="shared" si="2"/>
        <v>79.254676599999996</v>
      </c>
      <c r="BN5" s="17">
        <f t="shared" si="3"/>
        <v>12.740741379851295</v>
      </c>
      <c r="BO5" s="4">
        <f t="shared" si="11"/>
        <v>0.16075696635738079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30"/>
      <c r="BW5" s="30"/>
      <c r="BX5" s="30"/>
      <c r="BZ5" s="5" t="s">
        <v>90</v>
      </c>
      <c r="CA5" s="5" t="s">
        <v>90</v>
      </c>
      <c r="CB5" s="5" t="s">
        <v>90</v>
      </c>
      <c r="CH5">
        <f>531000/100000</f>
        <v>5.31</v>
      </c>
      <c r="CJ5" s="5" t="s">
        <v>91</v>
      </c>
      <c r="CL5" t="s">
        <v>91</v>
      </c>
      <c r="CN5" s="5" t="s">
        <v>105</v>
      </c>
      <c r="CP5" t="s">
        <v>91</v>
      </c>
    </row>
    <row r="6" spans="1:94" x14ac:dyDescent="0.35">
      <c r="A6" s="36" t="s">
        <v>37</v>
      </c>
      <c r="B6" s="3" t="s">
        <v>160</v>
      </c>
      <c r="C6" s="3" t="s">
        <v>142</v>
      </c>
      <c r="D6" s="3" t="s">
        <v>127</v>
      </c>
      <c r="E6" s="25" t="s">
        <v>107</v>
      </c>
      <c r="F6" s="3" t="s">
        <v>85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1">
        <v>27</v>
      </c>
      <c r="S6" s="31">
        <v>22</v>
      </c>
      <c r="T6" s="31">
        <f t="shared" si="6"/>
        <v>49</v>
      </c>
      <c r="U6" s="15"/>
      <c r="V6" s="7">
        <v>63</v>
      </c>
      <c r="W6" s="7">
        <v>63</v>
      </c>
      <c r="X6" s="3">
        <v>4.1018832792274864</v>
      </c>
      <c r="Y6" s="4">
        <f t="shared" si="7"/>
        <v>6.5109258400436298E-2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30"/>
      <c r="AG6" s="30"/>
      <c r="AH6" s="30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30"/>
      <c r="AU6" s="30"/>
      <c r="AV6" s="30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30"/>
      <c r="BI6" s="30"/>
      <c r="BJ6" s="30"/>
      <c r="BL6" s="17">
        <f t="shared" si="1"/>
        <v>222</v>
      </c>
      <c r="BM6" s="17">
        <f t="shared" si="2"/>
        <v>245.4</v>
      </c>
      <c r="BN6" s="17">
        <f t="shared" si="3"/>
        <v>14.63268327082319</v>
      </c>
      <c r="BO6" s="4">
        <f t="shared" si="11"/>
        <v>5.962788618917355E-2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30"/>
      <c r="BW6" s="30"/>
      <c r="BX6" s="30"/>
      <c r="BZ6" s="5" t="s">
        <v>90</v>
      </c>
      <c r="CA6" s="5" t="s">
        <v>90</v>
      </c>
      <c r="CB6" s="5" t="s">
        <v>90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91</v>
      </c>
      <c r="CL6" t="s">
        <v>91</v>
      </c>
      <c r="CN6" s="5" t="s">
        <v>96</v>
      </c>
      <c r="CP6" t="s">
        <v>91</v>
      </c>
    </row>
    <row r="7" spans="1:94" x14ac:dyDescent="0.35">
      <c r="A7" s="36" t="s">
        <v>38</v>
      </c>
      <c r="B7" s="3" t="s">
        <v>160</v>
      </c>
      <c r="C7" s="3" t="s">
        <v>146</v>
      </c>
      <c r="D7" s="3" t="s">
        <v>151</v>
      </c>
      <c r="E7" s="2" t="s">
        <v>107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1">
        <v>20</v>
      </c>
      <c r="S7" s="31">
        <v>6</v>
      </c>
      <c r="T7" s="31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30"/>
      <c r="AG7" s="30"/>
      <c r="AH7" s="30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30"/>
      <c r="AU7" s="30"/>
      <c r="AV7" s="30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30"/>
      <c r="BI7" s="30"/>
      <c r="BJ7" s="30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30"/>
      <c r="BW7" s="30"/>
      <c r="BX7" s="30"/>
      <c r="BZ7" s="5" t="s">
        <v>90</v>
      </c>
      <c r="CA7" s="5" t="s">
        <v>90</v>
      </c>
      <c r="CB7" s="5" t="s">
        <v>90</v>
      </c>
      <c r="CD7" s="21">
        <v>1.3674999999999999</v>
      </c>
      <c r="CF7">
        <f>3.7735+6.07</f>
        <v>9.8435000000000006</v>
      </c>
      <c r="CJ7" s="5" t="s">
        <v>91</v>
      </c>
      <c r="CL7" t="s">
        <v>91</v>
      </c>
      <c r="CN7" s="5" t="s">
        <v>96</v>
      </c>
      <c r="CP7" t="s">
        <v>91</v>
      </c>
    </row>
    <row r="8" spans="1:94" x14ac:dyDescent="0.35">
      <c r="A8" s="3" t="s">
        <v>39</v>
      </c>
      <c r="B8" s="3" t="s">
        <v>160</v>
      </c>
      <c r="C8" s="3" t="s">
        <v>142</v>
      </c>
      <c r="D8" s="3" t="s">
        <v>127</v>
      </c>
      <c r="E8" s="25" t="s">
        <v>107</v>
      </c>
      <c r="F8" s="3" t="s">
        <v>85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1">
        <v>50</v>
      </c>
      <c r="S8" s="31">
        <v>28</v>
      </c>
      <c r="T8" s="31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30"/>
      <c r="AG8" s="30"/>
      <c r="AH8" s="30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30"/>
      <c r="AU8" s="30"/>
      <c r="AV8" s="30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30"/>
      <c r="BI8" s="30"/>
      <c r="BJ8" s="30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30"/>
      <c r="BW8" s="30"/>
      <c r="BX8" s="30"/>
      <c r="BZ8" s="5" t="s">
        <v>90</v>
      </c>
      <c r="CA8" s="5" t="s">
        <v>90</v>
      </c>
      <c r="CB8" s="5" t="s">
        <v>90</v>
      </c>
      <c r="CD8" s="21"/>
      <c r="CF8">
        <v>2.0002599999999999</v>
      </c>
      <c r="CJ8" s="5" t="s">
        <v>91</v>
      </c>
      <c r="CL8" t="s">
        <v>91</v>
      </c>
      <c r="CN8" s="5" t="s">
        <v>104</v>
      </c>
      <c r="CP8" t="s">
        <v>91</v>
      </c>
    </row>
    <row r="9" spans="1:94" x14ac:dyDescent="0.35">
      <c r="A9" s="3" t="s">
        <v>8</v>
      </c>
      <c r="B9" s="3" t="s">
        <v>160</v>
      </c>
      <c r="C9" s="3" t="s">
        <v>142</v>
      </c>
      <c r="D9" s="3" t="s">
        <v>83</v>
      </c>
      <c r="E9" s="25" t="s">
        <v>107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1">
        <v>31</v>
      </c>
      <c r="S9" s="31">
        <v>28</v>
      </c>
      <c r="T9" s="31">
        <f t="shared" si="6"/>
        <v>59</v>
      </c>
      <c r="U9" s="15"/>
      <c r="V9" s="7">
        <v>45.5</v>
      </c>
      <c r="W9" s="7">
        <v>42.75</v>
      </c>
      <c r="X9" s="3">
        <v>7.9225720575444001</v>
      </c>
      <c r="Y9" s="4">
        <f t="shared" si="7"/>
        <v>0.18532332298349474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30"/>
      <c r="AG9" s="30"/>
      <c r="AH9" s="30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30"/>
      <c r="AU9" s="30"/>
      <c r="AV9" s="30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30"/>
      <c r="BI9" s="30"/>
      <c r="BJ9" s="30"/>
      <c r="BL9" s="17">
        <f t="shared" si="1"/>
        <v>195.75</v>
      </c>
      <c r="BM9" s="17">
        <f t="shared" si="2"/>
        <v>164.27500000000001</v>
      </c>
      <c r="BN9" s="17">
        <f t="shared" si="3"/>
        <v>31.893918052500233</v>
      </c>
      <c r="BO9" s="4">
        <f t="shared" si="11"/>
        <v>0.19414955442094189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30"/>
      <c r="BW9" s="30"/>
      <c r="BX9" s="30"/>
      <c r="BZ9" s="5" t="s">
        <v>90</v>
      </c>
      <c r="CA9" s="5" t="s">
        <v>90</v>
      </c>
      <c r="CB9" s="5" t="s">
        <v>90</v>
      </c>
      <c r="CD9" s="21"/>
      <c r="CF9">
        <v>5.5449999999999999</v>
      </c>
      <c r="CH9">
        <f>2553800/100000</f>
        <v>25.538</v>
      </c>
      <c r="CJ9" s="5" t="s">
        <v>91</v>
      </c>
      <c r="CL9" t="s">
        <v>91</v>
      </c>
      <c r="CN9" s="5" t="s">
        <v>105</v>
      </c>
      <c r="CP9" t="s">
        <v>91</v>
      </c>
    </row>
    <row r="10" spans="1:94" x14ac:dyDescent="0.35">
      <c r="A10" s="3" t="s">
        <v>4</v>
      </c>
      <c r="B10" s="3" t="s">
        <v>160</v>
      </c>
      <c r="C10" s="3" t="s">
        <v>142</v>
      </c>
      <c r="D10" s="3" t="s">
        <v>83</v>
      </c>
      <c r="E10" s="25" t="s">
        <v>107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1">
        <v>7</v>
      </c>
      <c r="S10" s="31">
        <v>7</v>
      </c>
      <c r="T10" s="31">
        <f t="shared" si="6"/>
        <v>14</v>
      </c>
      <c r="U10" s="15"/>
      <c r="V10" s="7">
        <v>12</v>
      </c>
      <c r="W10" s="7">
        <v>11.21</v>
      </c>
      <c r="X10" s="3">
        <v>2.6859121366836085</v>
      </c>
      <c r="Y10" s="4">
        <f t="shared" si="7"/>
        <v>0.23959965536874295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30"/>
      <c r="AG10" s="30"/>
      <c r="AH10" s="30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30"/>
      <c r="AU10" s="30"/>
      <c r="AV10" s="30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30"/>
      <c r="BI10" s="30"/>
      <c r="BJ10" s="30"/>
      <c r="BL10" s="17">
        <f t="shared" si="1"/>
        <v>48</v>
      </c>
      <c r="BM10" s="17">
        <f t="shared" si="2"/>
        <v>48.230519100000002</v>
      </c>
      <c r="BN10" s="17">
        <f t="shared" si="3"/>
        <v>14.689854099030612</v>
      </c>
      <c r="BO10" s="4">
        <f t="shared" si="11"/>
        <v>0.30457590698066134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30"/>
      <c r="BW10" s="30"/>
      <c r="BX10" s="30"/>
      <c r="BZ10" s="5" t="s">
        <v>90</v>
      </c>
      <c r="CA10" s="5" t="s">
        <v>90</v>
      </c>
      <c r="CB10" s="5" t="s">
        <v>90</v>
      </c>
      <c r="CD10" s="21"/>
      <c r="CH10">
        <f>31266/100000</f>
        <v>0.31265999999999999</v>
      </c>
      <c r="CJ10" s="5" t="s">
        <v>91</v>
      </c>
      <c r="CL10" t="s">
        <v>91</v>
      </c>
      <c r="CN10" s="5" t="s">
        <v>105</v>
      </c>
      <c r="CP10" t="s">
        <v>91</v>
      </c>
    </row>
    <row r="11" spans="1:94" x14ac:dyDescent="0.35">
      <c r="A11" s="3" t="s">
        <v>9</v>
      </c>
      <c r="B11" s="3" t="s">
        <v>160</v>
      </c>
      <c r="C11" s="3" t="s">
        <v>142</v>
      </c>
      <c r="D11" s="3" t="s">
        <v>83</v>
      </c>
      <c r="E11" s="25" t="s">
        <v>107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1">
        <v>39</v>
      </c>
      <c r="S11" s="31">
        <v>51</v>
      </c>
      <c r="T11" s="31">
        <f t="shared" si="6"/>
        <v>90</v>
      </c>
      <c r="U11" s="15"/>
      <c r="V11" s="7">
        <v>47.199999999999996</v>
      </c>
      <c r="W11" s="7">
        <v>40.6</v>
      </c>
      <c r="X11" s="3">
        <v>8.6905081391468855</v>
      </c>
      <c r="Y11" s="4">
        <f t="shared" si="7"/>
        <v>0.21405192460952918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30"/>
      <c r="AG11" s="30"/>
      <c r="AH11" s="30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30"/>
      <c r="AU11" s="30"/>
      <c r="AV11" s="30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30"/>
      <c r="BI11" s="30"/>
      <c r="BJ11" s="30"/>
      <c r="BL11" s="17">
        <f t="shared" si="1"/>
        <v>195.1</v>
      </c>
      <c r="BM11" s="17">
        <f t="shared" si="2"/>
        <v>169.85</v>
      </c>
      <c r="BN11" s="17">
        <f t="shared" si="3"/>
        <v>42.849862196798625</v>
      </c>
      <c r="BO11" s="4">
        <f t="shared" si="11"/>
        <v>0.25228061346363628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30"/>
      <c r="BW11" s="30"/>
      <c r="BX11" s="30"/>
      <c r="BZ11" s="5" t="s">
        <v>90</v>
      </c>
      <c r="CA11" s="5" t="s">
        <v>90</v>
      </c>
      <c r="CB11" s="5" t="s">
        <v>90</v>
      </c>
      <c r="CD11" s="21"/>
      <c r="CF11">
        <f>5.235+9.24</f>
        <v>14.475000000000001</v>
      </c>
      <c r="CJ11" s="5" t="s">
        <v>91</v>
      </c>
      <c r="CL11" t="s">
        <v>90</v>
      </c>
      <c r="CN11" s="5" t="s">
        <v>97</v>
      </c>
      <c r="CP11" t="s">
        <v>91</v>
      </c>
    </row>
    <row r="12" spans="1:94" x14ac:dyDescent="0.35">
      <c r="A12" s="3" t="s">
        <v>40</v>
      </c>
      <c r="B12" s="3" t="s">
        <v>160</v>
      </c>
      <c r="C12" s="3" t="s">
        <v>145</v>
      </c>
      <c r="D12" s="3" t="s">
        <v>145</v>
      </c>
      <c r="E12" s="2" t="s">
        <v>107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1">
        <v>423</v>
      </c>
      <c r="S12" s="31">
        <v>139</v>
      </c>
      <c r="T12" s="31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30"/>
      <c r="AG12" s="30"/>
      <c r="AH12" s="30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30"/>
      <c r="AU12" s="30"/>
      <c r="AV12" s="30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30"/>
      <c r="BI12" s="30"/>
      <c r="BJ12" s="30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30"/>
      <c r="BW12" s="30"/>
      <c r="BX12" s="30"/>
      <c r="BZ12" s="5" t="s">
        <v>90</v>
      </c>
      <c r="CA12" s="5" t="s">
        <v>90</v>
      </c>
      <c r="CB12" s="5" t="s">
        <v>90</v>
      </c>
      <c r="CD12" s="21"/>
      <c r="CJ12" s="5" t="s">
        <v>91</v>
      </c>
      <c r="CL12" t="s">
        <v>91</v>
      </c>
      <c r="CN12" s="5" t="s">
        <v>96</v>
      </c>
      <c r="CP12" t="s">
        <v>90</v>
      </c>
    </row>
    <row r="13" spans="1:94" x14ac:dyDescent="0.35">
      <c r="A13" s="3" t="s">
        <v>41</v>
      </c>
      <c r="B13" s="3" t="s">
        <v>161</v>
      </c>
      <c r="C13" s="3" t="s">
        <v>146</v>
      </c>
      <c r="D13" s="3" t="s">
        <v>154</v>
      </c>
      <c r="E13" s="2" t="s">
        <v>107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1">
        <v>5</v>
      </c>
      <c r="S13" s="31">
        <v>2</v>
      </c>
      <c r="T13" s="31">
        <f t="shared" si="6"/>
        <v>7</v>
      </c>
      <c r="U13" s="15"/>
      <c r="V13" s="7">
        <v>27</v>
      </c>
      <c r="W13" s="7">
        <v>8</v>
      </c>
      <c r="X13" s="3">
        <v>-6.7076312492347991</v>
      </c>
      <c r="Y13" s="4">
        <f t="shared" si="7"/>
        <v>-0.83845390615434989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30"/>
      <c r="AG13" s="30"/>
      <c r="AH13" s="30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30"/>
      <c r="AU13" s="30"/>
      <c r="AV13" s="30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30"/>
      <c r="BI13" s="30"/>
      <c r="BJ13" s="30"/>
      <c r="BL13" s="17">
        <f t="shared" si="1"/>
        <v>97</v>
      </c>
      <c r="BM13" s="17">
        <f t="shared" si="2"/>
        <v>34.43797</v>
      </c>
      <c r="BN13" s="17">
        <f t="shared" si="3"/>
        <v>-25.833083126312935</v>
      </c>
      <c r="BO13" s="4">
        <f t="shared" si="11"/>
        <v>-0.75013373686988327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30"/>
      <c r="BW13" s="30"/>
      <c r="BX13" s="30"/>
      <c r="BZ13" s="5" t="s">
        <v>90</v>
      </c>
      <c r="CA13" s="5" t="s">
        <v>90</v>
      </c>
      <c r="CB13" s="5" t="s">
        <v>90</v>
      </c>
      <c r="CD13" s="21"/>
      <c r="CJ13" s="5" t="s">
        <v>91</v>
      </c>
      <c r="CL13" t="s">
        <v>91</v>
      </c>
      <c r="CN13" s="5" t="s">
        <v>104</v>
      </c>
      <c r="CP13" t="s">
        <v>91</v>
      </c>
    </row>
    <row r="14" spans="1:94" x14ac:dyDescent="0.35">
      <c r="A14" s="3" t="s">
        <v>13</v>
      </c>
      <c r="B14" s="3" t="s">
        <v>160</v>
      </c>
      <c r="C14" s="3" t="s">
        <v>142</v>
      </c>
      <c r="D14" s="3" t="s">
        <v>83</v>
      </c>
      <c r="E14" s="25" t="s">
        <v>107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1">
        <v>5</v>
      </c>
      <c r="S14" s="31">
        <v>0</v>
      </c>
      <c r="T14" s="31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30"/>
      <c r="AG14" s="30"/>
      <c r="AH14" s="30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30"/>
      <c r="AU14" s="30"/>
      <c r="AV14" s="30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30"/>
      <c r="BI14" s="30"/>
      <c r="BJ14" s="30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30"/>
      <c r="BW14" s="30"/>
      <c r="BX14" s="30"/>
      <c r="BZ14" s="5" t="s">
        <v>90</v>
      </c>
      <c r="CA14" s="5" t="s">
        <v>90</v>
      </c>
      <c r="CB14" s="5" t="s">
        <v>90</v>
      </c>
      <c r="CD14" s="21"/>
      <c r="CJ14" s="5" t="s">
        <v>91</v>
      </c>
      <c r="CL14" t="s">
        <v>90</v>
      </c>
      <c r="CN14" s="5" t="s">
        <v>105</v>
      </c>
      <c r="CP14" t="s">
        <v>91</v>
      </c>
    </row>
    <row r="15" spans="1:94" x14ac:dyDescent="0.35">
      <c r="A15" s="3" t="s">
        <v>23</v>
      </c>
      <c r="B15" s="3" t="s">
        <v>160</v>
      </c>
      <c r="C15" s="3" t="s">
        <v>142</v>
      </c>
      <c r="D15" s="3" t="s">
        <v>84</v>
      </c>
      <c r="E15" s="26" t="s">
        <v>107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1">
        <v>0</v>
      </c>
      <c r="S15" s="31">
        <v>0</v>
      </c>
      <c r="T15" s="31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30"/>
      <c r="AG15" s="30"/>
      <c r="AH15" s="30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30"/>
      <c r="AU15" s="30"/>
      <c r="AV15" s="30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30"/>
      <c r="BI15" s="30"/>
      <c r="BJ15" s="30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30"/>
      <c r="BW15" s="30"/>
      <c r="BX15" s="30"/>
      <c r="BZ15" s="5" t="s">
        <v>90</v>
      </c>
      <c r="CA15" s="5" t="s">
        <v>90</v>
      </c>
      <c r="CB15" s="5" t="s">
        <v>90</v>
      </c>
      <c r="CD15" s="21"/>
      <c r="CJ15" s="5" t="s">
        <v>91</v>
      </c>
      <c r="CL15" t="s">
        <v>91</v>
      </c>
      <c r="CN15" s="5" t="s">
        <v>157</v>
      </c>
      <c r="CP15" t="s">
        <v>91</v>
      </c>
    </row>
    <row r="16" spans="1:94" x14ac:dyDescent="0.35">
      <c r="A16" s="3" t="s">
        <v>42</v>
      </c>
      <c r="B16" s="3" t="s">
        <v>160</v>
      </c>
      <c r="C16" s="3" t="s">
        <v>146</v>
      </c>
      <c r="D16" s="3" t="s">
        <v>150</v>
      </c>
      <c r="E16" s="2" t="s">
        <v>107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1">
        <v>28</v>
      </c>
      <c r="S16" s="31">
        <v>0</v>
      </c>
      <c r="T16" s="31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30"/>
      <c r="AG16" s="30"/>
      <c r="AH16" s="30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30"/>
      <c r="AU16" s="30"/>
      <c r="AV16" s="30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30"/>
      <c r="BI16" s="30"/>
      <c r="BJ16" s="30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30"/>
      <c r="BW16" s="30"/>
      <c r="BX16" s="30"/>
      <c r="BZ16" s="5" t="s">
        <v>90</v>
      </c>
      <c r="CA16" s="5" t="s">
        <v>90</v>
      </c>
      <c r="CB16" s="5" t="s">
        <v>90</v>
      </c>
      <c r="CD16" s="21"/>
      <c r="CJ16" s="5" t="s">
        <v>91</v>
      </c>
      <c r="CL16" t="s">
        <v>91</v>
      </c>
      <c r="CN16" s="5" t="s">
        <v>96</v>
      </c>
      <c r="CP16" t="s">
        <v>91</v>
      </c>
    </row>
    <row r="17" spans="1:94" x14ac:dyDescent="0.35">
      <c r="A17" s="3" t="s">
        <v>10</v>
      </c>
      <c r="B17" s="3" t="s">
        <v>160</v>
      </c>
      <c r="C17" s="3" t="s">
        <v>142</v>
      </c>
      <c r="D17" s="3" t="s">
        <v>153</v>
      </c>
      <c r="E17" s="25" t="s">
        <v>107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1">
        <v>258</v>
      </c>
      <c r="S17" s="31">
        <v>226</v>
      </c>
      <c r="T17" s="31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30"/>
      <c r="AG17" s="30"/>
      <c r="AH17" s="30"/>
      <c r="AJ17" s="3">
        <v>360</v>
      </c>
      <c r="AK17" s="3">
        <v>360</v>
      </c>
      <c r="AL17" s="3">
        <v>92.268749003049038</v>
      </c>
      <c r="AM17" s="4">
        <f t="shared" si="8"/>
        <v>0.25630208056402509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30"/>
      <c r="AU17" s="30"/>
      <c r="AV17" s="30"/>
      <c r="AX17" s="17">
        <v>390</v>
      </c>
      <c r="AY17" s="17">
        <v>390</v>
      </c>
      <c r="AZ17" s="17">
        <v>122.26874900304904</v>
      </c>
      <c r="BA17" s="4">
        <f t="shared" si="9"/>
        <v>0.31350961282833084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30"/>
      <c r="BI17" s="30"/>
      <c r="BJ17" s="30"/>
      <c r="BL17" s="17">
        <f t="shared" si="1"/>
        <v>1385</v>
      </c>
      <c r="BM17" s="17">
        <f t="shared" si="2"/>
        <v>1583.1275323</v>
      </c>
      <c r="BN17" s="17">
        <f t="shared" si="3"/>
        <v>541.66124922373388</v>
      </c>
      <c r="BO17" s="4">
        <f t="shared" si="11"/>
        <v>0.34214631365598031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30"/>
      <c r="BW17" s="30"/>
      <c r="BX17" s="30"/>
      <c r="BZ17" s="5" t="s">
        <v>90</v>
      </c>
      <c r="CA17" s="5" t="s">
        <v>90</v>
      </c>
      <c r="CB17" s="5" t="s">
        <v>90</v>
      </c>
      <c r="CD17" s="21"/>
      <c r="CH17">
        <f>17110481/100000</f>
        <v>171.10480999999999</v>
      </c>
      <c r="CJ17" s="5" t="s">
        <v>91</v>
      </c>
      <c r="CL17" t="s">
        <v>91</v>
      </c>
      <c r="CN17" s="5" t="s">
        <v>97</v>
      </c>
      <c r="CP17" t="s">
        <v>90</v>
      </c>
    </row>
    <row r="18" spans="1:94" x14ac:dyDescent="0.35">
      <c r="A18" s="3" t="s">
        <v>20</v>
      </c>
      <c r="B18" s="3" t="s">
        <v>160</v>
      </c>
      <c r="C18" s="3" t="s">
        <v>142</v>
      </c>
      <c r="D18" s="3" t="s">
        <v>84</v>
      </c>
      <c r="E18" s="26" t="s">
        <v>107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1">
        <v>4</v>
      </c>
      <c r="S18" s="31">
        <v>13</v>
      </c>
      <c r="T18" s="31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30"/>
      <c r="AG18" s="30"/>
      <c r="AH18" s="30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30"/>
      <c r="AU18" s="30"/>
      <c r="AV18" s="30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30"/>
      <c r="BI18" s="30"/>
      <c r="BJ18" s="30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30"/>
      <c r="BW18" s="30"/>
      <c r="BX18" s="30"/>
      <c r="BZ18" s="5" t="s">
        <v>90</v>
      </c>
      <c r="CA18" s="5" t="s">
        <v>90</v>
      </c>
      <c r="CB18" s="5" t="s">
        <v>90</v>
      </c>
      <c r="CD18" s="21"/>
      <c r="CJ18" s="5" t="s">
        <v>91</v>
      </c>
      <c r="CL18" t="s">
        <v>91</v>
      </c>
      <c r="CN18" s="5" t="s">
        <v>157</v>
      </c>
      <c r="CP18" t="s">
        <v>91</v>
      </c>
    </row>
    <row r="19" spans="1:94" x14ac:dyDescent="0.35">
      <c r="A19" s="3" t="s">
        <v>43</v>
      </c>
      <c r="B19" s="3" t="s">
        <v>161</v>
      </c>
      <c r="C19" s="3" t="s">
        <v>143</v>
      </c>
      <c r="D19" s="3" t="s">
        <v>155</v>
      </c>
      <c r="E19" s="2" t="s">
        <v>107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1">
        <v>113</v>
      </c>
      <c r="S19" s="31">
        <v>0</v>
      </c>
      <c r="T19" s="31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30"/>
      <c r="AG19" s="30"/>
      <c r="AH19" s="30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30"/>
      <c r="AU19" s="30"/>
      <c r="AV19" s="30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30"/>
      <c r="BI19" s="30"/>
      <c r="BJ19" s="30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30"/>
      <c r="BW19" s="30"/>
      <c r="BX19" s="30"/>
      <c r="BZ19" s="5" t="s">
        <v>90</v>
      </c>
      <c r="CA19" s="5" t="s">
        <v>90</v>
      </c>
      <c r="CB19" s="5" t="s">
        <v>90</v>
      </c>
      <c r="CD19" s="21"/>
      <c r="CF19">
        <v>0.63749999999999996</v>
      </c>
      <c r="CJ19" s="5" t="s">
        <v>91</v>
      </c>
      <c r="CL19" t="s">
        <v>91</v>
      </c>
      <c r="CN19" s="5" t="s">
        <v>96</v>
      </c>
      <c r="CP19" t="s">
        <v>90</v>
      </c>
    </row>
    <row r="20" spans="1:94" x14ac:dyDescent="0.35">
      <c r="A20" s="3" t="s">
        <v>11</v>
      </c>
      <c r="B20" s="3" t="s">
        <v>160</v>
      </c>
      <c r="C20" s="3" t="s">
        <v>142</v>
      </c>
      <c r="D20" s="3" t="s">
        <v>83</v>
      </c>
      <c r="E20" s="25" t="s">
        <v>107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1">
        <v>27</v>
      </c>
      <c r="S20" s="31">
        <v>24</v>
      </c>
      <c r="T20" s="31">
        <f t="shared" si="6"/>
        <v>51</v>
      </c>
      <c r="U20" s="15"/>
      <c r="V20" s="7">
        <v>24.865000000000002</v>
      </c>
      <c r="W20" s="7">
        <v>25.19</v>
      </c>
      <c r="X20" s="3">
        <v>7.9281948071674471</v>
      </c>
      <c r="Y20" s="4">
        <f t="shared" si="7"/>
        <v>0.3147358002051388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30"/>
      <c r="AG20" s="30"/>
      <c r="AH20" s="30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30"/>
      <c r="AU20" s="30"/>
      <c r="AV20" s="30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30"/>
      <c r="BI20" s="30"/>
      <c r="BJ20" s="30"/>
      <c r="BL20" s="17">
        <f t="shared" si="1"/>
        <v>94.320000000000007</v>
      </c>
      <c r="BM20" s="17">
        <f t="shared" si="2"/>
        <v>105.4358</v>
      </c>
      <c r="BN20" s="17">
        <f t="shared" si="3"/>
        <v>36.68203319324634</v>
      </c>
      <c r="BO20" s="4">
        <f t="shared" si="11"/>
        <v>0.34790871026014258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30"/>
      <c r="BW20" s="30"/>
      <c r="BX20" s="30"/>
      <c r="BZ20" s="5" t="s">
        <v>90</v>
      </c>
      <c r="CA20" s="5" t="s">
        <v>90</v>
      </c>
      <c r="CB20" s="5" t="s">
        <v>90</v>
      </c>
      <c r="CD20" s="21"/>
      <c r="CF20">
        <v>17.080000000000002</v>
      </c>
      <c r="CH20">
        <f>3300161/100000</f>
        <v>33.001609999999999</v>
      </c>
      <c r="CJ20" s="5" t="s">
        <v>91</v>
      </c>
      <c r="CL20" t="s">
        <v>91</v>
      </c>
      <c r="CN20" s="5" t="s">
        <v>104</v>
      </c>
      <c r="CP20" t="s">
        <v>91</v>
      </c>
    </row>
    <row r="21" spans="1:94" x14ac:dyDescent="0.35">
      <c r="A21" s="36" t="s">
        <v>12</v>
      </c>
      <c r="B21" s="3" t="s">
        <v>160</v>
      </c>
      <c r="C21" s="3" t="s">
        <v>142</v>
      </c>
      <c r="D21" s="3" t="s">
        <v>149</v>
      </c>
      <c r="E21" s="25" t="s">
        <v>107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1">
        <v>73</v>
      </c>
      <c r="S21" s="31">
        <v>18</v>
      </c>
      <c r="T21" s="31">
        <f t="shared" si="6"/>
        <v>91</v>
      </c>
      <c r="U21" s="15"/>
      <c r="V21" s="7">
        <v>90</v>
      </c>
      <c r="W21" s="7">
        <v>73.14</v>
      </c>
      <c r="X21" s="3">
        <v>-46.737419372020142</v>
      </c>
      <c r="Y21" s="4">
        <f t="shared" si="7"/>
        <v>-0.63901311692671781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30"/>
      <c r="AG21" s="30"/>
      <c r="AH21" s="30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30"/>
      <c r="AU21" s="30"/>
      <c r="AV21" s="30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30"/>
      <c r="BI21" s="30"/>
      <c r="BJ21" s="30"/>
      <c r="BL21" s="17">
        <f t="shared" si="1"/>
        <v>360</v>
      </c>
      <c r="BM21" s="17">
        <f t="shared" si="2"/>
        <v>377.78298274999997</v>
      </c>
      <c r="BN21" s="17">
        <f t="shared" si="3"/>
        <v>-98.651453396548362</v>
      </c>
      <c r="BO21" s="4">
        <f t="shared" si="11"/>
        <v>-0.26113260231690089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30"/>
      <c r="BW21" s="30"/>
      <c r="BX21" s="30"/>
      <c r="BZ21" s="5" t="s">
        <v>90</v>
      </c>
      <c r="CA21" s="5" t="s">
        <v>90</v>
      </c>
      <c r="CB21" s="5" t="s">
        <v>90</v>
      </c>
      <c r="CD21" s="21"/>
      <c r="CF21">
        <f>26.27983+34.48</f>
        <v>60.759829999999994</v>
      </c>
      <c r="CJ21" s="5" t="s">
        <v>91</v>
      </c>
      <c r="CL21" t="s">
        <v>90</v>
      </c>
      <c r="CN21" s="5" t="s">
        <v>105</v>
      </c>
      <c r="CP21" t="s">
        <v>90</v>
      </c>
    </row>
    <row r="22" spans="1:94" x14ac:dyDescent="0.35">
      <c r="A22" s="3" t="s">
        <v>22</v>
      </c>
      <c r="B22" s="3" t="s">
        <v>160</v>
      </c>
      <c r="C22" s="3" t="s">
        <v>142</v>
      </c>
      <c r="D22" s="3" t="s">
        <v>149</v>
      </c>
      <c r="E22" s="26" t="s">
        <v>107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123</v>
      </c>
      <c r="Q22" s="7">
        <v>0</v>
      </c>
      <c r="R22" s="31">
        <v>0</v>
      </c>
      <c r="S22" s="31">
        <v>0</v>
      </c>
      <c r="T22" s="31">
        <f t="shared" si="6"/>
        <v>0</v>
      </c>
      <c r="U22" s="15"/>
      <c r="V22" s="7">
        <v>23</v>
      </c>
      <c r="W22" s="7">
        <v>13.23</v>
      </c>
      <c r="X22" s="3">
        <v>11.003353524046769</v>
      </c>
      <c r="Y22" s="4">
        <f t="shared" si="7"/>
        <v>0.83169716735047383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30"/>
      <c r="AG22" s="30"/>
      <c r="AH22" s="30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30"/>
      <c r="AU22" s="30"/>
      <c r="AV22" s="30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30"/>
      <c r="BI22" s="30"/>
      <c r="BJ22" s="30"/>
      <c r="BL22" s="17">
        <f t="shared" si="1"/>
        <v>90</v>
      </c>
      <c r="BM22" s="17">
        <f t="shared" si="2"/>
        <v>67.490000000000009</v>
      </c>
      <c r="BN22" s="17">
        <f t="shared" si="3"/>
        <v>60.810060572140308</v>
      </c>
      <c r="BO22" s="4">
        <f t="shared" si="11"/>
        <v>0.90102327118299452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30"/>
      <c r="BW22" s="30"/>
      <c r="BX22" s="30"/>
      <c r="BZ22" s="5" t="s">
        <v>90</v>
      </c>
      <c r="CA22" s="5" t="s">
        <v>90</v>
      </c>
      <c r="CB22" s="5" t="s">
        <v>90</v>
      </c>
      <c r="CD22" s="21"/>
      <c r="CF22">
        <v>0.1</v>
      </c>
      <c r="CJ22" s="5" t="s">
        <v>91</v>
      </c>
      <c r="CL22" t="s">
        <v>91</v>
      </c>
      <c r="CN22" s="5" t="s">
        <v>157</v>
      </c>
      <c r="CP22" t="s">
        <v>91</v>
      </c>
    </row>
    <row r="23" spans="1:94" x14ac:dyDescent="0.35">
      <c r="A23" s="3" t="s">
        <v>44</v>
      </c>
      <c r="B23" s="3" t="s">
        <v>160</v>
      </c>
      <c r="C23" s="3" t="s">
        <v>146</v>
      </c>
      <c r="D23" s="3" t="s">
        <v>154</v>
      </c>
      <c r="E23" s="2" t="s">
        <v>107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1">
        <v>2</v>
      </c>
      <c r="S23" s="31">
        <v>1</v>
      </c>
      <c r="T23" s="31">
        <f t="shared" si="6"/>
        <v>3</v>
      </c>
      <c r="U23" s="15"/>
      <c r="V23" s="7">
        <v>4</v>
      </c>
      <c r="W23" s="7">
        <v>2.5</v>
      </c>
      <c r="X23" s="3">
        <v>-0.11884456849450231</v>
      </c>
      <c r="Y23" s="4">
        <f t="shared" si="7"/>
        <v>-4.7537827397800922E-2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30"/>
      <c r="AG23" s="30"/>
      <c r="AH23" s="30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30"/>
      <c r="AU23" s="30"/>
      <c r="AV23" s="30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30"/>
      <c r="BI23" s="30"/>
      <c r="BJ23" s="30"/>
      <c r="BL23" s="17">
        <f t="shared" si="1"/>
        <v>8</v>
      </c>
      <c r="BM23" s="17">
        <f t="shared" si="2"/>
        <v>4.8909400000000005</v>
      </c>
      <c r="BN23" s="17">
        <f t="shared" si="3"/>
        <v>-6.1987351480693125</v>
      </c>
      <c r="BO23" s="4">
        <f t="shared" si="11"/>
        <v>-1.2673913701802335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30"/>
      <c r="BW23" s="30"/>
      <c r="BX23" s="30"/>
      <c r="BZ23" s="5" t="s">
        <v>90</v>
      </c>
      <c r="CA23" s="5" t="s">
        <v>90</v>
      </c>
      <c r="CB23" s="5" t="s">
        <v>90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91</v>
      </c>
      <c r="CL23" t="s">
        <v>91</v>
      </c>
      <c r="CN23" s="5" t="s">
        <v>105</v>
      </c>
      <c r="CP23" t="s">
        <v>91</v>
      </c>
    </row>
    <row r="24" spans="1:94" x14ac:dyDescent="0.35">
      <c r="A24" s="3" t="s">
        <v>45</v>
      </c>
      <c r="B24" s="3" t="s">
        <v>161</v>
      </c>
      <c r="C24" s="3" t="s">
        <v>142</v>
      </c>
      <c r="D24" s="3" t="s">
        <v>127</v>
      </c>
      <c r="E24" s="25" t="s">
        <v>107</v>
      </c>
      <c r="F24" s="3" t="s">
        <v>85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1">
        <v>15</v>
      </c>
      <c r="S24" s="31">
        <v>0</v>
      </c>
      <c r="T24" s="31">
        <f t="shared" si="6"/>
        <v>15</v>
      </c>
      <c r="U24" s="15"/>
      <c r="V24" s="7">
        <v>29</v>
      </c>
      <c r="W24" s="7">
        <v>22.5</v>
      </c>
      <c r="X24" s="3">
        <v>0.66834942117908014</v>
      </c>
      <c r="Y24" s="4">
        <f t="shared" si="7"/>
        <v>2.9704418719070227E-2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30"/>
      <c r="AG24" s="30"/>
      <c r="AH24" s="30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30"/>
      <c r="AU24" s="30"/>
      <c r="AV24" s="30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30"/>
      <c r="BI24" s="30"/>
      <c r="BJ24" s="30"/>
      <c r="BL24" s="17">
        <f t="shared" si="1"/>
        <v>120</v>
      </c>
      <c r="BM24" s="17">
        <f t="shared" si="2"/>
        <v>82.400570000000002</v>
      </c>
      <c r="BN24" s="17">
        <f t="shared" si="3"/>
        <v>-3.0065660428912668</v>
      </c>
      <c r="BO24" s="4">
        <f t="shared" si="11"/>
        <v>-3.6487199577518295E-2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30"/>
      <c r="BW24" s="30"/>
      <c r="BX24" s="30"/>
      <c r="BZ24" s="5" t="s">
        <v>90</v>
      </c>
      <c r="CA24" s="5" t="s">
        <v>90</v>
      </c>
      <c r="CB24" s="5" t="s">
        <v>90</v>
      </c>
      <c r="CD24" s="21"/>
      <c r="CF24">
        <v>2.4</v>
      </c>
      <c r="CH24">
        <f>10643418/100000</f>
        <v>106.43418</v>
      </c>
      <c r="CJ24" s="5" t="s">
        <v>91</v>
      </c>
      <c r="CL24" t="s">
        <v>91</v>
      </c>
      <c r="CN24" s="5" t="s">
        <v>105</v>
      </c>
      <c r="CP24" t="s">
        <v>91</v>
      </c>
    </row>
    <row r="25" spans="1:94" x14ac:dyDescent="0.35">
      <c r="A25" s="3" t="s">
        <v>3</v>
      </c>
      <c r="B25" s="3" t="s">
        <v>160</v>
      </c>
      <c r="C25" s="3" t="s">
        <v>142</v>
      </c>
      <c r="D25" s="3" t="s">
        <v>83</v>
      </c>
      <c r="E25" s="25" t="s">
        <v>107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1">
        <v>27</v>
      </c>
      <c r="S25" s="31">
        <v>3</v>
      </c>
      <c r="T25" s="31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30"/>
      <c r="AG25" s="30"/>
      <c r="AH25" s="30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30"/>
      <c r="AU25" s="30"/>
      <c r="AV25" s="30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30"/>
      <c r="BI25" s="30"/>
      <c r="BJ25" s="30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30"/>
      <c r="BW25" s="30"/>
      <c r="BX25" s="30"/>
      <c r="BZ25" s="5" t="s">
        <v>90</v>
      </c>
      <c r="CA25" s="5" t="s">
        <v>90</v>
      </c>
      <c r="CB25" s="5" t="s">
        <v>90</v>
      </c>
      <c r="CD25" s="21"/>
      <c r="CH25">
        <f>1952868/100000</f>
        <v>19.528680000000001</v>
      </c>
      <c r="CJ25" s="5" t="s">
        <v>91</v>
      </c>
      <c r="CL25" t="s">
        <v>90</v>
      </c>
      <c r="CN25" s="5" t="s">
        <v>105</v>
      </c>
      <c r="CP25" t="s">
        <v>91</v>
      </c>
    </row>
    <row r="26" spans="1:94" x14ac:dyDescent="0.35">
      <c r="A26" s="36" t="s">
        <v>46</v>
      </c>
      <c r="B26" s="3" t="s">
        <v>160</v>
      </c>
      <c r="C26" s="3" t="s">
        <v>146</v>
      </c>
      <c r="D26" s="3" t="s">
        <v>146</v>
      </c>
      <c r="E26" s="2" t="s">
        <v>107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1">
        <v>56</v>
      </c>
      <c r="S26" s="31">
        <v>16</v>
      </c>
      <c r="T26" s="31">
        <f t="shared" si="6"/>
        <v>72</v>
      </c>
      <c r="U26" s="15"/>
      <c r="V26" s="7">
        <v>48</v>
      </c>
      <c r="W26" s="7">
        <v>48</v>
      </c>
      <c r="X26" s="3">
        <v>-24.18199956970426</v>
      </c>
      <c r="Y26" s="4">
        <f t="shared" si="7"/>
        <v>-0.50379165770217205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30"/>
      <c r="AG26" s="30"/>
      <c r="AH26" s="30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30"/>
      <c r="AU26" s="30"/>
      <c r="AV26" s="30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30"/>
      <c r="BI26" s="30"/>
      <c r="BJ26" s="30"/>
      <c r="BL26" s="17">
        <f t="shared" si="1"/>
        <v>192</v>
      </c>
      <c r="BM26" s="17">
        <f t="shared" si="2"/>
        <v>240.05248</v>
      </c>
      <c r="BN26" s="17">
        <f t="shared" si="3"/>
        <v>-56.953066639284906</v>
      </c>
      <c r="BO26" s="4">
        <f t="shared" si="11"/>
        <v>-0.23725256510278464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30"/>
      <c r="BW26" s="30"/>
      <c r="BX26" s="30"/>
      <c r="BZ26" s="5" t="s">
        <v>90</v>
      </c>
      <c r="CA26" s="5" t="s">
        <v>90</v>
      </c>
      <c r="CB26" s="5" t="s">
        <v>90</v>
      </c>
      <c r="CD26" s="21"/>
      <c r="CH26">
        <f>5954090/100000</f>
        <v>59.540900000000001</v>
      </c>
      <c r="CJ26" s="5" t="s">
        <v>91</v>
      </c>
      <c r="CL26" t="s">
        <v>91</v>
      </c>
      <c r="CN26" s="5" t="s">
        <v>105</v>
      </c>
      <c r="CP26" t="s">
        <v>91</v>
      </c>
    </row>
    <row r="27" spans="1:94" x14ac:dyDescent="0.35">
      <c r="A27" s="3" t="s">
        <v>63</v>
      </c>
      <c r="B27" s="3" t="s">
        <v>160</v>
      </c>
      <c r="C27" s="3" t="s">
        <v>146</v>
      </c>
      <c r="D27" s="3" t="s">
        <v>84</v>
      </c>
      <c r="E27" s="2" t="s">
        <v>107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123</v>
      </c>
      <c r="Q27" s="7">
        <v>0</v>
      </c>
      <c r="R27" s="31">
        <v>0</v>
      </c>
      <c r="S27" s="31">
        <v>0</v>
      </c>
      <c r="T27" s="31">
        <f t="shared" si="6"/>
        <v>0</v>
      </c>
      <c r="U27" s="15"/>
      <c r="V27" s="7">
        <v>4</v>
      </c>
      <c r="W27" s="7">
        <v>3</v>
      </c>
      <c r="X27" s="3">
        <v>1.5644221688453399</v>
      </c>
      <c r="Y27" s="4">
        <f t="shared" si="7"/>
        <v>0.52147405628178001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30"/>
      <c r="AG27" s="30"/>
      <c r="AH27" s="30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30"/>
      <c r="AU27" s="30"/>
      <c r="AV27" s="30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30"/>
      <c r="BI27" s="30"/>
      <c r="BJ27" s="30"/>
      <c r="BL27" s="17">
        <f t="shared" si="1"/>
        <v>25</v>
      </c>
      <c r="BM27" s="17">
        <f t="shared" si="2"/>
        <v>6</v>
      </c>
      <c r="BN27" s="17">
        <f t="shared" si="3"/>
        <v>1.6932665065360197</v>
      </c>
      <c r="BO27" s="4">
        <f t="shared" si="11"/>
        <v>0.28221108442266996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30"/>
      <c r="BW27" s="30"/>
      <c r="BX27" s="30"/>
      <c r="BZ27" s="5" t="s">
        <v>90</v>
      </c>
      <c r="CA27" s="5" t="s">
        <v>90</v>
      </c>
      <c r="CB27" s="5" t="s">
        <v>90</v>
      </c>
      <c r="CD27" s="21"/>
      <c r="CJ27" s="5" t="s">
        <v>91</v>
      </c>
      <c r="CL27" t="s">
        <v>91</v>
      </c>
      <c r="CN27" s="5" t="s">
        <v>157</v>
      </c>
      <c r="CP27" t="s">
        <v>91</v>
      </c>
    </row>
    <row r="28" spans="1:94" x14ac:dyDescent="0.35">
      <c r="A28" s="3" t="s">
        <v>47</v>
      </c>
      <c r="B28" s="3" t="s">
        <v>160</v>
      </c>
      <c r="C28" s="3" t="s">
        <v>142</v>
      </c>
      <c r="D28" s="3" t="s">
        <v>127</v>
      </c>
      <c r="E28" s="25" t="s">
        <v>107</v>
      </c>
      <c r="F28" s="3" t="s">
        <v>85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1">
        <v>32</v>
      </c>
      <c r="S28" s="31">
        <v>49</v>
      </c>
      <c r="T28" s="31">
        <f t="shared" si="6"/>
        <v>81</v>
      </c>
      <c r="U28" s="15"/>
      <c r="V28" s="7">
        <v>50</v>
      </c>
      <c r="W28" s="7">
        <v>50</v>
      </c>
      <c r="X28" s="3">
        <v>15.262871531248564</v>
      </c>
      <c r="Y28" s="4">
        <f t="shared" si="7"/>
        <v>0.30525743062497129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30"/>
      <c r="AG28" s="30"/>
      <c r="AH28" s="30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30"/>
      <c r="AU28" s="30"/>
      <c r="AV28" s="30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30"/>
      <c r="BI28" s="30"/>
      <c r="BJ28" s="30"/>
      <c r="BL28" s="17">
        <f t="shared" si="1"/>
        <v>179</v>
      </c>
      <c r="BM28" s="17">
        <f t="shared" si="2"/>
        <v>179.69</v>
      </c>
      <c r="BN28" s="17">
        <f t="shared" si="3"/>
        <v>42.314204616042396</v>
      </c>
      <c r="BO28" s="4">
        <f t="shared" si="11"/>
        <v>0.23548447112272466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30"/>
      <c r="BW28" s="30"/>
      <c r="BX28" s="30"/>
      <c r="BZ28" s="5" t="s">
        <v>90</v>
      </c>
      <c r="CA28" s="5" t="s">
        <v>90</v>
      </c>
      <c r="CB28" s="5" t="s">
        <v>90</v>
      </c>
      <c r="CD28" s="21"/>
      <c r="CJ28" s="5" t="s">
        <v>91</v>
      </c>
      <c r="CL28" t="s">
        <v>90</v>
      </c>
      <c r="CN28" s="5" t="s">
        <v>104</v>
      </c>
      <c r="CP28" t="s">
        <v>91</v>
      </c>
    </row>
    <row r="29" spans="1:94" x14ac:dyDescent="0.35">
      <c r="A29" s="36" t="s">
        <v>5</v>
      </c>
      <c r="B29" s="3" t="s">
        <v>160</v>
      </c>
      <c r="C29" s="3" t="s">
        <v>142</v>
      </c>
      <c r="D29" s="3" t="s">
        <v>83</v>
      </c>
      <c r="E29" s="25" t="s">
        <v>107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1">
        <v>16</v>
      </c>
      <c r="S29" s="31">
        <v>1</v>
      </c>
      <c r="T29" s="31">
        <f t="shared" si="6"/>
        <v>17</v>
      </c>
      <c r="U29" s="15"/>
      <c r="V29" s="7">
        <v>16</v>
      </c>
      <c r="W29" s="7">
        <v>21.375999999999998</v>
      </c>
      <c r="X29" s="3">
        <v>-9.0913462557081779</v>
      </c>
      <c r="Y29" s="4">
        <f t="shared" si="7"/>
        <v>-0.42530624324982125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30"/>
      <c r="AG29" s="30"/>
      <c r="AH29" s="30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30"/>
      <c r="AU29" s="30"/>
      <c r="AV29" s="30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30"/>
      <c r="BI29" s="30"/>
      <c r="BJ29" s="30"/>
      <c r="BL29" s="17">
        <f t="shared" si="1"/>
        <v>60</v>
      </c>
      <c r="BM29" s="17">
        <f t="shared" si="2"/>
        <v>92.026710000000008</v>
      </c>
      <c r="BN29" s="17">
        <f t="shared" si="3"/>
        <v>-19.175874106411243</v>
      </c>
      <c r="BO29" s="4">
        <f t="shared" si="11"/>
        <v>-0.20837291810618069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30"/>
      <c r="BW29" s="30"/>
      <c r="BX29" s="30"/>
      <c r="BZ29" s="5" t="s">
        <v>90</v>
      </c>
      <c r="CA29" s="5" t="s">
        <v>90</v>
      </c>
      <c r="CB29" s="5" t="s">
        <v>90</v>
      </c>
      <c r="CD29" s="21"/>
      <c r="CF29">
        <v>6.48</v>
      </c>
      <c r="CH29">
        <f>1992034/100000</f>
        <v>19.920339999999999</v>
      </c>
      <c r="CJ29" s="5" t="s">
        <v>91</v>
      </c>
      <c r="CL29" t="s">
        <v>91</v>
      </c>
      <c r="CN29" s="5" t="s">
        <v>105</v>
      </c>
      <c r="CP29" t="s">
        <v>91</v>
      </c>
    </row>
    <row r="30" spans="1:94" x14ac:dyDescent="0.35">
      <c r="A30" s="3" t="s">
        <v>21</v>
      </c>
      <c r="B30" s="3" t="s">
        <v>160</v>
      </c>
      <c r="C30" s="3" t="s">
        <v>142</v>
      </c>
      <c r="D30" s="3" t="s">
        <v>84</v>
      </c>
      <c r="E30" s="26" t="s">
        <v>107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123</v>
      </c>
      <c r="Q30" s="7">
        <v>0</v>
      </c>
      <c r="R30" s="31">
        <v>0</v>
      </c>
      <c r="S30" s="31">
        <v>0</v>
      </c>
      <c r="T30" s="31">
        <f t="shared" si="6"/>
        <v>0</v>
      </c>
      <c r="U30" s="15"/>
      <c r="V30" s="7">
        <v>3</v>
      </c>
      <c r="W30" s="7">
        <v>5</v>
      </c>
      <c r="X30" s="3">
        <v>3.8119999999999998</v>
      </c>
      <c r="Y30" s="4">
        <f t="shared" si="7"/>
        <v>0.76239999999999997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30"/>
      <c r="AG30" s="30"/>
      <c r="AH30" s="30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30"/>
      <c r="AU30" s="30"/>
      <c r="AV30" s="30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30"/>
      <c r="BI30" s="30"/>
      <c r="BJ30" s="30"/>
      <c r="BL30" s="17">
        <f t="shared" si="1"/>
        <v>10</v>
      </c>
      <c r="BM30" s="17">
        <f t="shared" si="2"/>
        <v>10.8</v>
      </c>
      <c r="BN30" s="17">
        <f t="shared" si="3"/>
        <v>7.2359999999999998</v>
      </c>
      <c r="BO30" s="4">
        <f t="shared" si="11"/>
        <v>0.66999999999999993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30"/>
      <c r="BW30" s="30"/>
      <c r="BX30" s="30"/>
      <c r="BZ30" s="5" t="s">
        <v>90</v>
      </c>
      <c r="CA30" s="5" t="s">
        <v>90</v>
      </c>
      <c r="CB30" s="5" t="s">
        <v>90</v>
      </c>
      <c r="CD30" s="21"/>
      <c r="CJ30" s="5" t="s">
        <v>91</v>
      </c>
      <c r="CL30" t="s">
        <v>91</v>
      </c>
      <c r="CN30" s="5" t="s">
        <v>157</v>
      </c>
      <c r="CP30" t="s">
        <v>91</v>
      </c>
    </row>
    <row r="31" spans="1:94" x14ac:dyDescent="0.35">
      <c r="A31" s="3" t="s">
        <v>48</v>
      </c>
      <c r="B31" s="3" t="s">
        <v>160</v>
      </c>
      <c r="C31" s="3" t="s">
        <v>142</v>
      </c>
      <c r="D31" s="3" t="s">
        <v>127</v>
      </c>
      <c r="E31" s="25" t="s">
        <v>107</v>
      </c>
      <c r="F31" s="3" t="s">
        <v>85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1">
        <v>134</v>
      </c>
      <c r="S31" s="31">
        <v>18</v>
      </c>
      <c r="T31" s="31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30"/>
      <c r="AG31" s="30"/>
      <c r="AH31" s="30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30"/>
      <c r="AU31" s="30"/>
      <c r="AV31" s="30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30"/>
      <c r="BI31" s="30"/>
      <c r="BJ31" s="30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30"/>
      <c r="BW31" s="30"/>
      <c r="BX31" s="30"/>
      <c r="BZ31" s="5" t="s">
        <v>90</v>
      </c>
      <c r="CA31" s="5" t="s">
        <v>90</v>
      </c>
      <c r="CB31" s="5" t="s">
        <v>90</v>
      </c>
      <c r="CD31" s="21"/>
      <c r="CJ31" s="5" t="s">
        <v>91</v>
      </c>
      <c r="CL31" t="s">
        <v>90</v>
      </c>
      <c r="CN31" s="5" t="s">
        <v>97</v>
      </c>
      <c r="CP31" t="s">
        <v>90</v>
      </c>
    </row>
    <row r="32" spans="1:94" x14ac:dyDescent="0.35">
      <c r="A32" s="3" t="s">
        <v>14</v>
      </c>
      <c r="B32" s="3" t="s">
        <v>160</v>
      </c>
      <c r="C32" s="3" t="s">
        <v>142</v>
      </c>
      <c r="D32" s="3" t="s">
        <v>83</v>
      </c>
      <c r="E32" s="27" t="s">
        <v>107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1">
        <v>66</v>
      </c>
      <c r="S32" s="31">
        <v>176</v>
      </c>
      <c r="T32" s="31">
        <f t="shared" si="6"/>
        <v>242</v>
      </c>
      <c r="U32" s="15"/>
      <c r="V32" s="7">
        <v>63.39</v>
      </c>
      <c r="W32" s="7">
        <v>63.379999999999995</v>
      </c>
      <c r="X32" s="3">
        <v>20.38111859595562</v>
      </c>
      <c r="Y32" s="4">
        <f t="shared" si="7"/>
        <v>0.32157018927036324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30"/>
      <c r="AG32" s="30"/>
      <c r="AH32" s="30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30"/>
      <c r="AU32" s="30"/>
      <c r="AV32" s="30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30"/>
      <c r="BI32" s="30"/>
      <c r="BJ32" s="30"/>
      <c r="BL32" s="17">
        <f t="shared" si="1"/>
        <v>245.97000000000003</v>
      </c>
      <c r="BM32" s="17">
        <f t="shared" si="2"/>
        <v>264.66999999999996</v>
      </c>
      <c r="BN32" s="17">
        <f t="shared" si="3"/>
        <v>96.45306111066715</v>
      </c>
      <c r="BO32" s="4">
        <f t="shared" si="11"/>
        <v>0.36442763105250753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30"/>
      <c r="BW32" s="30"/>
      <c r="BX32" s="30"/>
      <c r="BZ32" s="5" t="s">
        <v>90</v>
      </c>
      <c r="CA32" s="5" t="s">
        <v>90</v>
      </c>
      <c r="CB32" s="5" t="s">
        <v>90</v>
      </c>
      <c r="CD32" s="21">
        <v>12.92</v>
      </c>
      <c r="CF32">
        <v>25.14</v>
      </c>
      <c r="CJ32" s="5" t="s">
        <v>91</v>
      </c>
      <c r="CL32" t="s">
        <v>91</v>
      </c>
      <c r="CN32" s="5" t="s">
        <v>96</v>
      </c>
      <c r="CP32" t="s">
        <v>91</v>
      </c>
    </row>
    <row r="33" spans="1:94" x14ac:dyDescent="0.35">
      <c r="A33" s="3" t="s">
        <v>15</v>
      </c>
      <c r="B33" s="3" t="s">
        <v>160</v>
      </c>
      <c r="C33" s="3" t="s">
        <v>142</v>
      </c>
      <c r="D33" s="3" t="s">
        <v>83</v>
      </c>
      <c r="E33" s="25" t="s">
        <v>107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1">
        <v>0</v>
      </c>
      <c r="S33" s="31">
        <v>0</v>
      </c>
      <c r="T33" s="31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30"/>
      <c r="AG33" s="30"/>
      <c r="AH33" s="30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30"/>
      <c r="AU33" s="30"/>
      <c r="AV33" s="30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30"/>
      <c r="BI33" s="30"/>
      <c r="BJ33" s="30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30"/>
      <c r="BW33" s="30"/>
      <c r="BX33" s="30"/>
      <c r="BZ33" s="5" t="s">
        <v>90</v>
      </c>
      <c r="CA33" s="5" t="s">
        <v>90</v>
      </c>
      <c r="CB33" s="5" t="s">
        <v>90</v>
      </c>
      <c r="CD33" s="21"/>
      <c r="CH33">
        <f>417121/100000</f>
        <v>4.1712100000000003</v>
      </c>
      <c r="CJ33" s="5" t="s">
        <v>91</v>
      </c>
      <c r="CL33" t="s">
        <v>91</v>
      </c>
      <c r="CN33" s="5" t="s">
        <v>105</v>
      </c>
      <c r="CP33" t="s">
        <v>91</v>
      </c>
    </row>
    <row r="34" spans="1:94" x14ac:dyDescent="0.35">
      <c r="A34" s="3" t="s">
        <v>16</v>
      </c>
      <c r="B34" s="3" t="s">
        <v>160</v>
      </c>
      <c r="C34" s="3" t="s">
        <v>142</v>
      </c>
      <c r="D34" s="3" t="s">
        <v>83</v>
      </c>
      <c r="E34" s="25" t="s">
        <v>107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123</v>
      </c>
      <c r="Q34" s="7">
        <v>0</v>
      </c>
      <c r="R34" s="31">
        <v>0</v>
      </c>
      <c r="S34" s="31">
        <v>0</v>
      </c>
      <c r="T34" s="31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30"/>
      <c r="AG34" s="30"/>
      <c r="AH34" s="30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30"/>
      <c r="AU34" s="30"/>
      <c r="AV34" s="30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30"/>
      <c r="BI34" s="30"/>
      <c r="BJ34" s="30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30"/>
      <c r="BW34" s="30"/>
      <c r="BX34" s="30"/>
      <c r="BZ34" s="5" t="s">
        <v>90</v>
      </c>
      <c r="CA34" s="5" t="s">
        <v>90</v>
      </c>
      <c r="CB34" s="5" t="s">
        <v>90</v>
      </c>
      <c r="CD34" s="21"/>
      <c r="CJ34" s="5" t="s">
        <v>91</v>
      </c>
      <c r="CL34" t="s">
        <v>91</v>
      </c>
      <c r="CN34" s="5" t="s">
        <v>105</v>
      </c>
      <c r="CP34" t="s">
        <v>91</v>
      </c>
    </row>
    <row r="35" spans="1:94" x14ac:dyDescent="0.35">
      <c r="A35" s="3" t="s">
        <v>49</v>
      </c>
      <c r="B35" s="3" t="s">
        <v>160</v>
      </c>
      <c r="C35" s="3" t="s">
        <v>142</v>
      </c>
      <c r="D35" s="3" t="s">
        <v>83</v>
      </c>
      <c r="E35" s="25" t="s">
        <v>107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1">
        <v>5</v>
      </c>
      <c r="S35" s="31">
        <v>5</v>
      </c>
      <c r="T35" s="31">
        <f t="shared" si="6"/>
        <v>10</v>
      </c>
      <c r="U35" s="15"/>
      <c r="V35" s="7">
        <v>9.1</v>
      </c>
      <c r="W35" s="7">
        <v>9.1</v>
      </c>
      <c r="X35" s="3">
        <v>1.7797095810564079</v>
      </c>
      <c r="Y35" s="4">
        <f t="shared" si="7"/>
        <v>0.1955724814347701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30"/>
      <c r="AG35" s="30"/>
      <c r="AH35" s="30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30"/>
      <c r="AU35" s="30"/>
      <c r="AV35" s="30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30"/>
      <c r="BI35" s="30"/>
      <c r="BJ35" s="30"/>
      <c r="BL35" s="17">
        <f t="shared" ref="BL35:BL55" si="14">V35+AJ35+AX35+H35</f>
        <v>41.1</v>
      </c>
      <c r="BM35" s="17">
        <f t="shared" ref="BM35:BM55" si="15">W35+AK35+AY35+I35</f>
        <v>41.01</v>
      </c>
      <c r="BN35" s="17">
        <f t="shared" ref="BN35:BN55" si="16">X35+AL35+AZ35+J35</f>
        <v>13.180829174756049</v>
      </c>
      <c r="BO35" s="4">
        <f t="shared" si="11"/>
        <v>0.32140524688505362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30"/>
      <c r="BW35" s="30"/>
      <c r="BX35" s="30"/>
      <c r="BZ35" s="5" t="s">
        <v>90</v>
      </c>
      <c r="CA35" s="5" t="s">
        <v>90</v>
      </c>
      <c r="CB35" s="5" t="s">
        <v>90</v>
      </c>
      <c r="CD35" s="21"/>
      <c r="CJ35" s="5" t="s">
        <v>91</v>
      </c>
      <c r="CL35" t="s">
        <v>90</v>
      </c>
      <c r="CN35" s="5" t="s">
        <v>97</v>
      </c>
      <c r="CP35" t="s">
        <v>91</v>
      </c>
    </row>
    <row r="36" spans="1:94" x14ac:dyDescent="0.35">
      <c r="A36" s="3" t="s">
        <v>17</v>
      </c>
      <c r="B36" s="3" t="s">
        <v>160</v>
      </c>
      <c r="C36" s="3" t="s">
        <v>142</v>
      </c>
      <c r="D36" s="3" t="s">
        <v>83</v>
      </c>
      <c r="E36" s="25" t="s">
        <v>107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1">
        <v>17</v>
      </c>
      <c r="S36" s="31">
        <v>4</v>
      </c>
      <c r="T36" s="31">
        <f t="shared" si="6"/>
        <v>21</v>
      </c>
      <c r="U36" s="15"/>
      <c r="V36" s="7">
        <v>24.713999999999999</v>
      </c>
      <c r="W36" s="7">
        <v>19.68</v>
      </c>
      <c r="X36" s="3">
        <v>7.6712019897435795</v>
      </c>
      <c r="Y36" s="4">
        <f t="shared" si="7"/>
        <v>0.38979684907233636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30"/>
      <c r="AG36" s="30"/>
      <c r="AH36" s="30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30"/>
      <c r="AU36" s="30"/>
      <c r="AV36" s="30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30"/>
      <c r="BI36" s="30"/>
      <c r="BJ36" s="30"/>
      <c r="BL36" s="17">
        <f t="shared" si="14"/>
        <v>100.319</v>
      </c>
      <c r="BM36" s="17">
        <f t="shared" si="15"/>
        <v>84.834104999999994</v>
      </c>
      <c r="BN36" s="17">
        <f t="shared" si="16"/>
        <v>37.367078930582842</v>
      </c>
      <c r="BO36" s="4">
        <f t="shared" si="11"/>
        <v>0.44047236580833671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30"/>
      <c r="BW36" s="30"/>
      <c r="BX36" s="30"/>
      <c r="BZ36" s="5" t="s">
        <v>90</v>
      </c>
      <c r="CA36" s="5" t="s">
        <v>90</v>
      </c>
      <c r="CB36" s="5" t="s">
        <v>90</v>
      </c>
      <c r="CD36" s="21"/>
      <c r="CJ36" s="5" t="s">
        <v>91</v>
      </c>
      <c r="CL36" t="s">
        <v>91</v>
      </c>
      <c r="CN36" s="5" t="s">
        <v>97</v>
      </c>
      <c r="CP36" t="s">
        <v>91</v>
      </c>
    </row>
    <row r="37" spans="1:94" x14ac:dyDescent="0.35">
      <c r="A37" s="36" t="s">
        <v>18</v>
      </c>
      <c r="B37" s="3" t="s">
        <v>160</v>
      </c>
      <c r="C37" s="3" t="s">
        <v>142</v>
      </c>
      <c r="D37" s="3" t="s">
        <v>83</v>
      </c>
      <c r="E37" s="25" t="s">
        <v>107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1">
        <v>226</v>
      </c>
      <c r="S37" s="31">
        <v>0</v>
      </c>
      <c r="T37" s="31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30"/>
      <c r="AG37" s="30"/>
      <c r="AH37" s="30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30"/>
      <c r="AU37" s="30"/>
      <c r="AV37" s="30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30"/>
      <c r="BI37" s="30"/>
      <c r="BJ37" s="30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30"/>
      <c r="BW37" s="30"/>
      <c r="BX37" s="30"/>
      <c r="BZ37" s="5" t="s">
        <v>90</v>
      </c>
      <c r="CA37" s="5" t="s">
        <v>90</v>
      </c>
      <c r="CB37" s="5" t="s">
        <v>90</v>
      </c>
      <c r="CD37" s="21"/>
      <c r="CJ37" s="5" t="s">
        <v>91</v>
      </c>
      <c r="CL37" t="s">
        <v>91</v>
      </c>
      <c r="CN37" s="5" t="s">
        <v>97</v>
      </c>
      <c r="CP37" t="s">
        <v>90</v>
      </c>
    </row>
    <row r="38" spans="1:94" x14ac:dyDescent="0.35">
      <c r="A38" s="3" t="s">
        <v>50</v>
      </c>
      <c r="B38" s="3" t="s">
        <v>161</v>
      </c>
      <c r="C38" s="3" t="s">
        <v>146</v>
      </c>
      <c r="D38" s="3" t="s">
        <v>150</v>
      </c>
      <c r="E38" s="2" t="s">
        <v>107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1">
        <v>24</v>
      </c>
      <c r="S38" s="31">
        <v>44</v>
      </c>
      <c r="T38" s="31">
        <f t="shared" si="6"/>
        <v>68</v>
      </c>
      <c r="U38" s="15"/>
      <c r="V38" s="7">
        <v>64</v>
      </c>
      <c r="W38" s="7">
        <v>25</v>
      </c>
      <c r="X38" s="3">
        <v>-19.859391554768017</v>
      </c>
      <c r="Y38" s="4">
        <f t="shared" si="7"/>
        <v>-0.79437566219072064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30"/>
      <c r="AG38" s="30"/>
      <c r="AH38" s="30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30"/>
      <c r="AU38" s="30"/>
      <c r="AV38" s="30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30"/>
      <c r="BI38" s="30"/>
      <c r="BJ38" s="30"/>
      <c r="BL38" s="17">
        <f t="shared" si="14"/>
        <v>232</v>
      </c>
      <c r="BM38" s="17">
        <f t="shared" si="15"/>
        <v>126.4045</v>
      </c>
      <c r="BN38" s="17">
        <f t="shared" si="16"/>
        <v>-53.685073579998708</v>
      </c>
      <c r="BO38" s="4">
        <f t="shared" si="11"/>
        <v>-0.42470856322360917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30"/>
      <c r="BW38" s="30"/>
      <c r="BX38" s="30"/>
      <c r="BZ38" s="5" t="s">
        <v>90</v>
      </c>
      <c r="CA38" s="5" t="s">
        <v>90</v>
      </c>
      <c r="CB38" s="5" t="s">
        <v>90</v>
      </c>
      <c r="CD38" s="21"/>
      <c r="CF38">
        <v>12.259040000000001</v>
      </c>
      <c r="CJ38" s="5" t="s">
        <v>91</v>
      </c>
      <c r="CL38" t="s">
        <v>91</v>
      </c>
      <c r="CN38" s="5" t="s">
        <v>97</v>
      </c>
      <c r="CP38" t="s">
        <v>91</v>
      </c>
    </row>
    <row r="39" spans="1:94" x14ac:dyDescent="0.35">
      <c r="A39" s="3" t="s">
        <v>6</v>
      </c>
      <c r="B39" s="3" t="s">
        <v>160</v>
      </c>
      <c r="C39" s="3" t="s">
        <v>142</v>
      </c>
      <c r="D39" s="3" t="s">
        <v>83</v>
      </c>
      <c r="E39" s="25" t="s">
        <v>107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1">
        <v>13</v>
      </c>
      <c r="S39" s="31">
        <v>5</v>
      </c>
      <c r="T39" s="31">
        <f t="shared" si="6"/>
        <v>18</v>
      </c>
      <c r="U39" s="15"/>
      <c r="V39" s="7">
        <v>18</v>
      </c>
      <c r="W39" s="7">
        <v>8.6300000000000008</v>
      </c>
      <c r="X39" s="3">
        <v>-2.0652687961694376</v>
      </c>
      <c r="Y39" s="4">
        <f t="shared" si="7"/>
        <v>-0.23931272261523029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30"/>
      <c r="AG39" s="30"/>
      <c r="AH39" s="30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30"/>
      <c r="AU39" s="30"/>
      <c r="AV39" s="30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30"/>
      <c r="BI39" s="30"/>
      <c r="BJ39" s="30"/>
      <c r="BL39" s="17">
        <f t="shared" si="14"/>
        <v>65.5</v>
      </c>
      <c r="BM39" s="17">
        <f t="shared" si="15"/>
        <v>58.204030000000003</v>
      </c>
      <c r="BN39" s="17">
        <f t="shared" si="16"/>
        <v>16.066177086097383</v>
      </c>
      <c r="BO39" s="4">
        <f t="shared" si="11"/>
        <v>0.27603203912336283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30"/>
      <c r="BW39" s="30"/>
      <c r="BX39" s="30"/>
      <c r="BZ39" s="5" t="s">
        <v>90</v>
      </c>
      <c r="CA39" s="5" t="s">
        <v>90</v>
      </c>
      <c r="CB39" s="5" t="s">
        <v>90</v>
      </c>
      <c r="CD39" s="21"/>
      <c r="CJ39" s="5" t="s">
        <v>91</v>
      </c>
      <c r="CL39" t="s">
        <v>91</v>
      </c>
      <c r="CN39" s="5" t="s">
        <v>105</v>
      </c>
      <c r="CP39" t="s">
        <v>91</v>
      </c>
    </row>
    <row r="40" spans="1:94" x14ac:dyDescent="0.35">
      <c r="A40" s="3" t="s">
        <v>51</v>
      </c>
      <c r="B40" s="3" t="s">
        <v>160</v>
      </c>
      <c r="C40" s="3" t="s">
        <v>142</v>
      </c>
      <c r="D40" s="3" t="s">
        <v>127</v>
      </c>
      <c r="E40" s="25" t="s">
        <v>107</v>
      </c>
      <c r="F40" s="3" t="s">
        <v>85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1">
        <v>14</v>
      </c>
      <c r="S40" s="31">
        <v>0</v>
      </c>
      <c r="T40" s="31">
        <f t="shared" si="6"/>
        <v>14</v>
      </c>
      <c r="U40" s="15"/>
      <c r="V40" s="7">
        <v>16</v>
      </c>
      <c r="W40" s="7">
        <v>16</v>
      </c>
      <c r="X40" s="3">
        <v>3.0799649275377785</v>
      </c>
      <c r="Y40" s="4">
        <f t="shared" si="7"/>
        <v>0.19249780797111116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30"/>
      <c r="AG40" s="30"/>
      <c r="AH40" s="30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30"/>
      <c r="AU40" s="30"/>
      <c r="AV40" s="30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30"/>
      <c r="BI40" s="30"/>
      <c r="BJ40" s="30"/>
      <c r="BL40" s="17">
        <f t="shared" si="14"/>
        <v>58</v>
      </c>
      <c r="BM40" s="17">
        <f t="shared" si="15"/>
        <v>62.866760400000004</v>
      </c>
      <c r="BN40" s="17">
        <f t="shared" si="16"/>
        <v>13.447841765768384</v>
      </c>
      <c r="BO40" s="4">
        <f t="shared" si="11"/>
        <v>0.21391020755967541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30"/>
      <c r="BW40" s="30"/>
      <c r="BX40" s="30"/>
      <c r="BZ40" s="5" t="s">
        <v>90</v>
      </c>
      <c r="CA40" s="5" t="s">
        <v>90</v>
      </c>
      <c r="CB40" s="5" t="s">
        <v>90</v>
      </c>
      <c r="CD40" s="21"/>
      <c r="CH40">
        <f>1677628/100000</f>
        <v>16.77628</v>
      </c>
      <c r="CJ40" s="5" t="s">
        <v>91</v>
      </c>
      <c r="CL40" t="s">
        <v>90</v>
      </c>
      <c r="CN40" s="5" t="s">
        <v>105</v>
      </c>
      <c r="CP40" t="s">
        <v>91</v>
      </c>
    </row>
    <row r="41" spans="1:94" x14ac:dyDescent="0.35">
      <c r="A41" s="3" t="s">
        <v>64</v>
      </c>
      <c r="B41" s="3" t="s">
        <v>160</v>
      </c>
      <c r="C41" s="3" t="s">
        <v>142</v>
      </c>
      <c r="D41" s="3" t="s">
        <v>84</v>
      </c>
      <c r="E41" s="26" t="s">
        <v>107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1">
        <v>0</v>
      </c>
      <c r="S41" s="31">
        <v>0</v>
      </c>
      <c r="T41" s="31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30"/>
      <c r="AG41" s="30"/>
      <c r="AH41" s="30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30"/>
      <c r="AU41" s="30"/>
      <c r="AV41" s="30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30"/>
      <c r="BI41" s="30"/>
      <c r="BJ41" s="30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30"/>
      <c r="BW41" s="30"/>
      <c r="BX41" s="30"/>
      <c r="BZ41" s="5" t="s">
        <v>90</v>
      </c>
      <c r="CA41" s="5" t="s">
        <v>90</v>
      </c>
      <c r="CB41" s="5" t="s">
        <v>90</v>
      </c>
      <c r="CD41" s="21"/>
      <c r="CJ41" s="5" t="s">
        <v>91</v>
      </c>
      <c r="CL41" t="s">
        <v>91</v>
      </c>
      <c r="CN41" s="5" t="s">
        <v>157</v>
      </c>
      <c r="CP41" t="s">
        <v>91</v>
      </c>
    </row>
    <row r="42" spans="1:94" x14ac:dyDescent="0.35">
      <c r="A42" s="3" t="s">
        <v>52</v>
      </c>
      <c r="B42" s="3" t="s">
        <v>160</v>
      </c>
      <c r="C42" s="3" t="s">
        <v>142</v>
      </c>
      <c r="D42" s="3" t="s">
        <v>127</v>
      </c>
      <c r="E42" s="25" t="s">
        <v>107</v>
      </c>
      <c r="F42" s="3" t="s">
        <v>85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1">
        <v>15</v>
      </c>
      <c r="S42" s="31">
        <v>14</v>
      </c>
      <c r="T42" s="31">
        <f t="shared" si="6"/>
        <v>29</v>
      </c>
      <c r="U42" s="15"/>
      <c r="V42" s="7">
        <v>28.5</v>
      </c>
      <c r="W42" s="7">
        <v>28.5</v>
      </c>
      <c r="X42" s="3">
        <v>10.290401339084465</v>
      </c>
      <c r="Y42" s="4">
        <f t="shared" si="7"/>
        <v>0.36106671365208648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30"/>
      <c r="AG42" s="30"/>
      <c r="AH42" s="30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30"/>
      <c r="AU42" s="30"/>
      <c r="AV42" s="30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30"/>
      <c r="BI42" s="30"/>
      <c r="BJ42" s="30"/>
      <c r="BL42" s="17">
        <f t="shared" si="14"/>
        <v>105</v>
      </c>
      <c r="BM42" s="17">
        <f t="shared" si="15"/>
        <v>106.61</v>
      </c>
      <c r="BN42" s="17">
        <f t="shared" si="16"/>
        <v>36.323384143296387</v>
      </c>
      <c r="BO42" s="4">
        <f t="shared" si="11"/>
        <v>0.34071272998120616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30"/>
      <c r="BW42" s="30"/>
      <c r="BX42" s="30"/>
      <c r="BZ42" s="5" t="s">
        <v>90</v>
      </c>
      <c r="CA42" s="5" t="s">
        <v>90</v>
      </c>
      <c r="CB42" s="5" t="s">
        <v>90</v>
      </c>
      <c r="CD42" s="21"/>
      <c r="CJ42" s="5" t="s">
        <v>91</v>
      </c>
      <c r="CL42" t="s">
        <v>91</v>
      </c>
      <c r="CN42" s="5" t="s">
        <v>96</v>
      </c>
      <c r="CP42" t="s">
        <v>91</v>
      </c>
    </row>
    <row r="43" spans="1:94" x14ac:dyDescent="0.35">
      <c r="A43" s="3" t="s">
        <v>53</v>
      </c>
      <c r="B43" s="3" t="s">
        <v>160</v>
      </c>
      <c r="C43" s="3" t="s">
        <v>146</v>
      </c>
      <c r="D43" s="3" t="s">
        <v>84</v>
      </c>
      <c r="E43" s="2" t="s">
        <v>107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1">
        <v>0</v>
      </c>
      <c r="S43" s="31">
        <v>0</v>
      </c>
      <c r="T43" s="31">
        <f t="shared" si="6"/>
        <v>0</v>
      </c>
      <c r="U43" s="15"/>
      <c r="V43" s="7">
        <v>0</v>
      </c>
      <c r="W43" s="7">
        <v>3</v>
      </c>
      <c r="X43" s="3">
        <v>-2.6817886394136181E-2</v>
      </c>
      <c r="Y43" s="4">
        <f t="shared" si="7"/>
        <v>-8.9392954647120604E-3</v>
      </c>
      <c r="Z43" s="3">
        <v>0</v>
      </c>
      <c r="AA43" s="17">
        <v>0</v>
      </c>
      <c r="AB43" s="17"/>
      <c r="AC43" s="17"/>
      <c r="AD43" s="3"/>
      <c r="AE43" s="7">
        <v>0</v>
      </c>
      <c r="AF43" s="30"/>
      <c r="AG43" s="30"/>
      <c r="AH43" s="30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30"/>
      <c r="AU43" s="30"/>
      <c r="AV43" s="30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30"/>
      <c r="BI43" s="30"/>
      <c r="BJ43" s="30"/>
      <c r="BL43" s="17">
        <f t="shared" si="14"/>
        <v>0</v>
      </c>
      <c r="BM43" s="17">
        <f t="shared" si="15"/>
        <v>5.4180000000000001</v>
      </c>
      <c r="BN43" s="17">
        <f t="shared" si="16"/>
        <v>-0.93281475779159373</v>
      </c>
      <c r="BO43" s="4">
        <f t="shared" si="11"/>
        <v>-0.17216957508150493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30"/>
      <c r="BW43" s="30"/>
      <c r="BX43" s="30"/>
      <c r="BZ43" s="5" t="s">
        <v>90</v>
      </c>
      <c r="CA43" s="5" t="s">
        <v>90</v>
      </c>
      <c r="CB43" s="5" t="s">
        <v>90</v>
      </c>
      <c r="CD43" s="21"/>
      <c r="CJ43" s="5" t="s">
        <v>91</v>
      </c>
      <c r="CL43" t="s">
        <v>91</v>
      </c>
      <c r="CN43" s="5" t="s">
        <v>157</v>
      </c>
      <c r="CP43" t="s">
        <v>91</v>
      </c>
    </row>
    <row r="44" spans="1:94" x14ac:dyDescent="0.35">
      <c r="A44" s="3" t="s">
        <v>54</v>
      </c>
      <c r="B44" s="3" t="s">
        <v>160</v>
      </c>
      <c r="C44" s="3" t="s">
        <v>146</v>
      </c>
      <c r="D44" s="3" t="s">
        <v>154</v>
      </c>
      <c r="E44" s="2" t="s">
        <v>107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1">
        <v>8</v>
      </c>
      <c r="S44" s="31">
        <v>0</v>
      </c>
      <c r="T44" s="31">
        <f t="shared" si="6"/>
        <v>8</v>
      </c>
      <c r="U44" s="15"/>
      <c r="V44" s="7">
        <v>20</v>
      </c>
      <c r="W44" s="7">
        <v>20</v>
      </c>
      <c r="X44" s="3">
        <v>2.2581580118894564</v>
      </c>
      <c r="Y44" s="4">
        <f t="shared" si="7"/>
        <v>0.11290790059447282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30"/>
      <c r="AG44" s="30"/>
      <c r="AH44" s="30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30"/>
      <c r="AU44" s="30"/>
      <c r="AV44" s="30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30"/>
      <c r="BI44" s="30"/>
      <c r="BJ44" s="30"/>
      <c r="BL44" s="17">
        <f t="shared" si="14"/>
        <v>67</v>
      </c>
      <c r="BM44" s="17">
        <f t="shared" si="15"/>
        <v>66.912499999999994</v>
      </c>
      <c r="BN44" s="17">
        <f t="shared" si="16"/>
        <v>-1.3041040598137421</v>
      </c>
      <c r="BO44" s="4">
        <f t="shared" si="11"/>
        <v>-1.9489692655538834E-2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30"/>
      <c r="BW44" s="30"/>
      <c r="BX44" s="30"/>
      <c r="BZ44" s="5" t="s">
        <v>90</v>
      </c>
      <c r="CA44" s="5" t="s">
        <v>90</v>
      </c>
      <c r="CB44" s="5" t="s">
        <v>90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91</v>
      </c>
      <c r="CL44" t="s">
        <v>91</v>
      </c>
      <c r="CN44" s="5" t="s">
        <v>105</v>
      </c>
      <c r="CP44" t="s">
        <v>91</v>
      </c>
    </row>
    <row r="45" spans="1:94" x14ac:dyDescent="0.35">
      <c r="A45" s="3" t="s">
        <v>55</v>
      </c>
      <c r="B45" s="3" t="s">
        <v>160</v>
      </c>
      <c r="C45" s="3" t="s">
        <v>146</v>
      </c>
      <c r="D45" s="3" t="s">
        <v>152</v>
      </c>
      <c r="E45" s="2" t="s">
        <v>107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1">
        <v>12</v>
      </c>
      <c r="S45" s="31">
        <v>2</v>
      </c>
      <c r="T45" s="31">
        <f t="shared" si="6"/>
        <v>14</v>
      </c>
      <c r="U45" s="15"/>
      <c r="V45" s="7">
        <v>43.296000000000006</v>
      </c>
      <c r="W45" s="7">
        <v>30</v>
      </c>
      <c r="X45" s="3">
        <v>12.210274602624189</v>
      </c>
      <c r="Y45" s="4">
        <f t="shared" si="7"/>
        <v>0.40700915342080629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30"/>
      <c r="AG45" s="30"/>
      <c r="AH45" s="30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30"/>
      <c r="AU45" s="30"/>
      <c r="AV45" s="30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30"/>
      <c r="BI45" s="30"/>
      <c r="BJ45" s="30"/>
      <c r="BL45" s="17">
        <f t="shared" si="14"/>
        <v>163.46880000000004</v>
      </c>
      <c r="BM45" s="17">
        <f t="shared" si="15"/>
        <v>136.92000000000002</v>
      </c>
      <c r="BN45" s="17">
        <f t="shared" si="16"/>
        <v>68.617391308326873</v>
      </c>
      <c r="BO45" s="4">
        <f t="shared" si="11"/>
        <v>0.50114951291503695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30"/>
      <c r="BW45" s="30"/>
      <c r="BX45" s="30"/>
      <c r="BZ45" s="5" t="s">
        <v>90</v>
      </c>
      <c r="CA45" s="5" t="s">
        <v>90</v>
      </c>
      <c r="CB45" s="5" t="s">
        <v>90</v>
      </c>
      <c r="CD45" s="21">
        <v>15.36</v>
      </c>
      <c r="CF45">
        <f>6.702+5.75</f>
        <v>12.452</v>
      </c>
      <c r="CJ45" s="5" t="s">
        <v>91</v>
      </c>
      <c r="CL45" t="s">
        <v>90</v>
      </c>
      <c r="CN45" s="5" t="s">
        <v>105</v>
      </c>
      <c r="CP45" t="s">
        <v>91</v>
      </c>
    </row>
    <row r="46" spans="1:94" x14ac:dyDescent="0.35">
      <c r="A46" s="3" t="s">
        <v>56</v>
      </c>
      <c r="B46" s="3" t="s">
        <v>160</v>
      </c>
      <c r="C46" s="3" t="s">
        <v>142</v>
      </c>
      <c r="D46" s="3" t="s">
        <v>83</v>
      </c>
      <c r="E46" s="25" t="s">
        <v>107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1">
        <v>28</v>
      </c>
      <c r="S46" s="31">
        <v>13</v>
      </c>
      <c r="T46" s="31">
        <f t="shared" si="6"/>
        <v>41</v>
      </c>
      <c r="U46" s="15"/>
      <c r="V46" s="7">
        <v>20.399999999999999</v>
      </c>
      <c r="W46" s="7">
        <v>19.940000000000001</v>
      </c>
      <c r="X46" s="3">
        <v>1.5658543529773112</v>
      </c>
      <c r="Y46" s="4">
        <f t="shared" si="7"/>
        <v>7.8528302556535159E-2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30"/>
      <c r="AG46" s="30"/>
      <c r="AH46" s="30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30"/>
      <c r="AU46" s="30"/>
      <c r="AV46" s="30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30"/>
      <c r="BI46" s="30"/>
      <c r="BJ46" s="30"/>
      <c r="BL46" s="17">
        <f t="shared" si="14"/>
        <v>81.25</v>
      </c>
      <c r="BM46" s="17">
        <f t="shared" si="15"/>
        <v>88.375100000000003</v>
      </c>
      <c r="BN46" s="17">
        <f t="shared" si="16"/>
        <v>15.716467037100042</v>
      </c>
      <c r="BO46" s="4">
        <f t="shared" si="11"/>
        <v>0.17783818108381252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30"/>
      <c r="BW46" s="30"/>
      <c r="BX46" s="30"/>
      <c r="BZ46" s="5" t="s">
        <v>90</v>
      </c>
      <c r="CA46" s="5" t="s">
        <v>90</v>
      </c>
      <c r="CB46" s="5" t="s">
        <v>90</v>
      </c>
      <c r="CD46" s="21"/>
      <c r="CJ46" s="5" t="s">
        <v>91</v>
      </c>
      <c r="CL46" t="s">
        <v>91</v>
      </c>
      <c r="CN46" s="5" t="s">
        <v>104</v>
      </c>
      <c r="CP46" t="s">
        <v>91</v>
      </c>
    </row>
    <row r="47" spans="1:94" x14ac:dyDescent="0.35">
      <c r="A47" s="3" t="s">
        <v>57</v>
      </c>
      <c r="B47" s="3" t="s">
        <v>160</v>
      </c>
      <c r="C47" s="3" t="s">
        <v>142</v>
      </c>
      <c r="D47" s="3" t="s">
        <v>83</v>
      </c>
      <c r="E47" s="25" t="s">
        <v>107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1">
        <v>15</v>
      </c>
      <c r="S47" s="31">
        <v>0</v>
      </c>
      <c r="T47" s="31">
        <f t="shared" si="6"/>
        <v>15</v>
      </c>
      <c r="U47" s="15"/>
      <c r="V47" s="7">
        <v>12</v>
      </c>
      <c r="W47" s="7">
        <v>12</v>
      </c>
      <c r="X47" s="3">
        <v>3.7775750414052212</v>
      </c>
      <c r="Y47" s="4">
        <f t="shared" si="7"/>
        <v>0.31479792011710178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30"/>
      <c r="AG47" s="30"/>
      <c r="AH47" s="30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30"/>
      <c r="AU47" s="30"/>
      <c r="AV47" s="30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30"/>
      <c r="BI47" s="30"/>
      <c r="BJ47" s="30"/>
      <c r="BL47" s="17">
        <f t="shared" si="14"/>
        <v>48</v>
      </c>
      <c r="BM47" s="17">
        <f t="shared" si="15"/>
        <v>49.70505</v>
      </c>
      <c r="BN47" s="17">
        <f t="shared" si="16"/>
        <v>17.137845084746033</v>
      </c>
      <c r="BO47" s="4">
        <f t="shared" si="11"/>
        <v>0.34479082275837231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30"/>
      <c r="BW47" s="30"/>
      <c r="BX47" s="30"/>
      <c r="BZ47" s="5" t="s">
        <v>90</v>
      </c>
      <c r="CA47" s="5" t="s">
        <v>90</v>
      </c>
      <c r="CB47" s="5" t="s">
        <v>90</v>
      </c>
      <c r="CD47" s="21"/>
      <c r="CJ47" s="5" t="s">
        <v>91</v>
      </c>
      <c r="CL47" t="s">
        <v>91</v>
      </c>
      <c r="CN47" s="5" t="s">
        <v>105</v>
      </c>
      <c r="CP47" t="s">
        <v>91</v>
      </c>
    </row>
    <row r="48" spans="1:94" x14ac:dyDescent="0.35">
      <c r="A48" s="3" t="s">
        <v>58</v>
      </c>
      <c r="B48" s="3" t="s">
        <v>160</v>
      </c>
      <c r="C48" s="3" t="s">
        <v>143</v>
      </c>
      <c r="D48" s="3" t="s">
        <v>143</v>
      </c>
      <c r="E48" s="2" t="s">
        <v>107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1">
        <v>210</v>
      </c>
      <c r="S48" s="31">
        <v>24</v>
      </c>
      <c r="T48" s="31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30"/>
      <c r="AG48" s="30"/>
      <c r="AH48" s="30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30"/>
      <c r="AU48" s="30"/>
      <c r="AV48" s="30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30"/>
      <c r="BI48" s="30"/>
      <c r="BJ48" s="30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30"/>
      <c r="BW48" s="30"/>
      <c r="BX48" s="30"/>
      <c r="BZ48" s="5" t="s">
        <v>90</v>
      </c>
      <c r="CA48" s="5" t="s">
        <v>90</v>
      </c>
      <c r="CB48" s="5" t="s">
        <v>90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91</v>
      </c>
      <c r="CL48" t="s">
        <v>91</v>
      </c>
      <c r="CN48" s="5" t="s">
        <v>105</v>
      </c>
      <c r="CP48" t="s">
        <v>90</v>
      </c>
    </row>
    <row r="49" spans="1:94" x14ac:dyDescent="0.35">
      <c r="A49" s="3" t="s">
        <v>59</v>
      </c>
      <c r="B49" s="3" t="s">
        <v>160</v>
      </c>
      <c r="C49" s="3" t="s">
        <v>142</v>
      </c>
      <c r="D49" s="3" t="s">
        <v>83</v>
      </c>
      <c r="E49" s="25" t="s">
        <v>108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1">
        <v>60</v>
      </c>
      <c r="S49" s="31">
        <v>11</v>
      </c>
      <c r="T49" s="31">
        <f t="shared" si="6"/>
        <v>71</v>
      </c>
      <c r="U49" s="15"/>
      <c r="V49" s="7">
        <v>115.69</v>
      </c>
      <c r="W49" s="7">
        <v>55</v>
      </c>
      <c r="X49" s="3">
        <v>-24.91041467184327</v>
      </c>
      <c r="Y49" s="4">
        <f t="shared" si="7"/>
        <v>-0.45291663039715035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30"/>
      <c r="AG49" s="30"/>
      <c r="AH49" s="30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30"/>
      <c r="AU49" s="30"/>
      <c r="AV49" s="30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30"/>
      <c r="BI49" s="30"/>
      <c r="BJ49" s="30"/>
      <c r="BL49" s="17">
        <f t="shared" si="14"/>
        <v>442.9</v>
      </c>
      <c r="BM49" s="17">
        <f t="shared" si="15"/>
        <v>365.06658720999997</v>
      </c>
      <c r="BN49" s="17">
        <f t="shared" si="16"/>
        <v>68.113538396387355</v>
      </c>
      <c r="BO49" s="4">
        <f t="shared" si="11"/>
        <v>0.18657839633295692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30"/>
      <c r="BW49" s="30"/>
      <c r="BX49" s="30"/>
      <c r="BZ49" s="5" t="s">
        <v>90</v>
      </c>
      <c r="CA49" s="5" t="s">
        <v>90</v>
      </c>
      <c r="CB49" s="5" t="s">
        <v>90</v>
      </c>
      <c r="CD49" s="21"/>
      <c r="CF49">
        <f>17+25.69</f>
        <v>42.69</v>
      </c>
      <c r="CH49">
        <f>265500/100000</f>
        <v>2.6549999999999998</v>
      </c>
      <c r="CJ49" s="5" t="s">
        <v>91</v>
      </c>
      <c r="CL49" t="s">
        <v>91</v>
      </c>
      <c r="CN49" s="5" t="s">
        <v>105</v>
      </c>
      <c r="CP49" t="s">
        <v>90</v>
      </c>
    </row>
    <row r="50" spans="1:94" x14ac:dyDescent="0.35">
      <c r="A50" s="3" t="s">
        <v>82</v>
      </c>
      <c r="B50" s="3" t="s">
        <v>160</v>
      </c>
      <c r="C50" s="3" t="s">
        <v>142</v>
      </c>
      <c r="D50" s="3" t="s">
        <v>127</v>
      </c>
      <c r="E50" s="25" t="s">
        <v>108</v>
      </c>
      <c r="F50" s="3" t="s">
        <v>85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1">
        <v>10</v>
      </c>
      <c r="S50" s="31">
        <v>0</v>
      </c>
      <c r="T50" s="31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30"/>
      <c r="AG50" s="30"/>
      <c r="AH50" s="30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30"/>
      <c r="AU50" s="30"/>
      <c r="AV50" s="30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30"/>
      <c r="BI50" s="30"/>
      <c r="BJ50" s="30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30"/>
      <c r="BW50" s="30"/>
      <c r="BX50" s="30"/>
      <c r="BZ50" s="5" t="s">
        <v>90</v>
      </c>
      <c r="CA50" s="5" t="s">
        <v>90</v>
      </c>
      <c r="CB50" s="5" t="s">
        <v>90</v>
      </c>
      <c r="CD50" s="21"/>
      <c r="CJ50" s="5" t="s">
        <v>91</v>
      </c>
      <c r="CL50" t="s">
        <v>91</v>
      </c>
      <c r="CN50" s="5" t="s">
        <v>105</v>
      </c>
      <c r="CP50" t="s">
        <v>91</v>
      </c>
    </row>
    <row r="51" spans="1:94" x14ac:dyDescent="0.35">
      <c r="A51" s="3" t="s">
        <v>30</v>
      </c>
      <c r="B51" s="3" t="s">
        <v>160</v>
      </c>
      <c r="C51" s="3" t="s">
        <v>142</v>
      </c>
      <c r="D51" s="3" t="s">
        <v>83</v>
      </c>
      <c r="E51" s="25" t="s">
        <v>108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1">
        <v>2</v>
      </c>
      <c r="S51" s="31">
        <v>0</v>
      </c>
      <c r="T51" s="31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30"/>
      <c r="AG51" s="30"/>
      <c r="AH51" s="30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30"/>
      <c r="AU51" s="30"/>
      <c r="AV51" s="30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30"/>
      <c r="BI51" s="30"/>
      <c r="BJ51" s="30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30"/>
      <c r="BW51" s="30"/>
      <c r="BX51" s="30"/>
      <c r="BZ51" s="5" t="s">
        <v>90</v>
      </c>
      <c r="CA51" s="5" t="s">
        <v>90</v>
      </c>
      <c r="CB51" s="5" t="s">
        <v>90</v>
      </c>
      <c r="CD51" s="21"/>
      <c r="CF51">
        <v>0.99424999999999997</v>
      </c>
      <c r="CJ51" s="5" t="s">
        <v>91</v>
      </c>
      <c r="CL51" t="s">
        <v>91</v>
      </c>
      <c r="CN51" s="5" t="s">
        <v>105</v>
      </c>
      <c r="CP51" t="s">
        <v>90</v>
      </c>
    </row>
    <row r="52" spans="1:94" x14ac:dyDescent="0.35">
      <c r="A52" s="3" t="s">
        <v>19</v>
      </c>
      <c r="B52" s="3" t="s">
        <v>160</v>
      </c>
      <c r="C52" s="3" t="s">
        <v>142</v>
      </c>
      <c r="D52" s="3" t="s">
        <v>84</v>
      </c>
      <c r="E52" s="26" t="s">
        <v>107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1">
        <v>0</v>
      </c>
      <c r="S52" s="31">
        <v>0</v>
      </c>
      <c r="T52" s="31">
        <f t="shared" si="6"/>
        <v>0</v>
      </c>
      <c r="U52" s="15"/>
      <c r="V52" s="7">
        <v>6</v>
      </c>
      <c r="W52" s="7">
        <v>9.5</v>
      </c>
      <c r="X52" s="3">
        <v>6.2028212675386794</v>
      </c>
      <c r="Y52" s="4">
        <f t="shared" si="7"/>
        <v>0.65292855447775577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30"/>
      <c r="AG52" s="30"/>
      <c r="AH52" s="30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30"/>
      <c r="AU52" s="30"/>
      <c r="AV52" s="30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30"/>
      <c r="BI52" s="30"/>
      <c r="BJ52" s="30"/>
      <c r="BL52" s="17">
        <f t="shared" si="14"/>
        <v>30</v>
      </c>
      <c r="BM52" s="17">
        <f t="shared" si="15"/>
        <v>26.7</v>
      </c>
      <c r="BN52" s="17">
        <f t="shared" si="16"/>
        <v>14.773168288751025</v>
      </c>
      <c r="BO52" s="4">
        <f t="shared" si="11"/>
        <v>0.55330218309928936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30"/>
      <c r="BW52" s="30"/>
      <c r="BX52" s="30"/>
      <c r="BZ52" s="5" t="s">
        <v>90</v>
      </c>
      <c r="CA52" s="5" t="s">
        <v>90</v>
      </c>
      <c r="CB52" s="5" t="s">
        <v>90</v>
      </c>
      <c r="CD52" s="21"/>
      <c r="CJ52" s="5" t="s">
        <v>91</v>
      </c>
      <c r="CL52" t="s">
        <v>91</v>
      </c>
      <c r="CN52" s="5" t="s">
        <v>157</v>
      </c>
      <c r="CP52" t="s">
        <v>91</v>
      </c>
    </row>
    <row r="53" spans="1:94" x14ac:dyDescent="0.35">
      <c r="A53" s="3" t="s">
        <v>61</v>
      </c>
      <c r="B53" s="3" t="s">
        <v>160</v>
      </c>
      <c r="C53" s="3" t="s">
        <v>142</v>
      </c>
      <c r="D53" s="3" t="s">
        <v>84</v>
      </c>
      <c r="E53" s="26" t="s">
        <v>107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123</v>
      </c>
      <c r="Q53" s="7">
        <v>0</v>
      </c>
      <c r="R53" s="31">
        <v>0</v>
      </c>
      <c r="S53" s="31">
        <v>0</v>
      </c>
      <c r="T53" s="31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30"/>
      <c r="AG53" s="30"/>
      <c r="AH53" s="30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30"/>
      <c r="AU53" s="30"/>
      <c r="AV53" s="30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30"/>
      <c r="BI53" s="30"/>
      <c r="BJ53" s="30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30"/>
      <c r="BW53" s="30"/>
      <c r="BX53" s="30"/>
      <c r="BZ53" s="5" t="s">
        <v>90</v>
      </c>
      <c r="CA53" s="5" t="s">
        <v>90</v>
      </c>
      <c r="CB53" s="5" t="s">
        <v>90</v>
      </c>
      <c r="CD53" s="21"/>
      <c r="CJ53" s="5" t="s">
        <v>91</v>
      </c>
      <c r="CL53" t="s">
        <v>91</v>
      </c>
      <c r="CN53" s="5" t="s">
        <v>157</v>
      </c>
      <c r="CP53" t="s">
        <v>91</v>
      </c>
    </row>
    <row r="54" spans="1:94" x14ac:dyDescent="0.35">
      <c r="A54" s="3" t="s">
        <v>62</v>
      </c>
      <c r="B54" s="3" t="s">
        <v>160</v>
      </c>
      <c r="C54" s="3" t="s">
        <v>146</v>
      </c>
      <c r="D54" s="3" t="s">
        <v>84</v>
      </c>
      <c r="E54" s="2" t="s">
        <v>107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123</v>
      </c>
      <c r="Q54" s="7">
        <v>0</v>
      </c>
      <c r="R54" s="31">
        <v>0</v>
      </c>
      <c r="S54" s="31">
        <v>0</v>
      </c>
      <c r="T54" s="31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30"/>
      <c r="AG54" s="30"/>
      <c r="AH54" s="30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30"/>
      <c r="AU54" s="30"/>
      <c r="AV54" s="30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30"/>
      <c r="BI54" s="30"/>
      <c r="BJ54" s="30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30"/>
      <c r="BW54" s="30"/>
      <c r="BX54" s="30"/>
      <c r="BZ54" s="5" t="s">
        <v>90</v>
      </c>
      <c r="CA54" s="5" t="s">
        <v>90</v>
      </c>
      <c r="CB54" s="5" t="s">
        <v>90</v>
      </c>
      <c r="CD54" s="21"/>
      <c r="CJ54" s="5" t="s">
        <v>91</v>
      </c>
      <c r="CL54" t="s">
        <v>91</v>
      </c>
      <c r="CN54" s="5" t="s">
        <v>157</v>
      </c>
      <c r="CP54" t="s">
        <v>91</v>
      </c>
    </row>
    <row r="55" spans="1:94" x14ac:dyDescent="0.35">
      <c r="A55" s="3" t="s">
        <v>65</v>
      </c>
      <c r="B55" s="3" t="s">
        <v>161</v>
      </c>
      <c r="C55" s="3" t="s">
        <v>142</v>
      </c>
      <c r="D55" s="3" t="s">
        <v>127</v>
      </c>
      <c r="E55" s="25" t="s">
        <v>108</v>
      </c>
      <c r="F55" s="3" t="s">
        <v>85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1">
        <v>1</v>
      </c>
      <c r="S55" s="31">
        <v>3</v>
      </c>
      <c r="T55" s="31">
        <f t="shared" si="6"/>
        <v>4</v>
      </c>
      <c r="U55" s="15"/>
      <c r="V55" s="7">
        <v>130.62295999999998</v>
      </c>
      <c r="W55" s="7">
        <v>130.60000000000002</v>
      </c>
      <c r="X55" s="3">
        <v>48.582812270367128</v>
      </c>
      <c r="Y55" s="4">
        <f t="shared" si="7"/>
        <v>0.37199703116667016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30"/>
      <c r="AG55" s="30"/>
      <c r="AH55" s="30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30"/>
      <c r="AU55" s="30"/>
      <c r="AV55" s="30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30"/>
      <c r="BI55" s="30"/>
      <c r="BJ55" s="30"/>
      <c r="BL55" s="17">
        <f t="shared" si="14"/>
        <v>534.25936000000002</v>
      </c>
      <c r="BM55" s="17">
        <f t="shared" si="15"/>
        <v>520.88729506000004</v>
      </c>
      <c r="BN55" s="17">
        <f t="shared" si="16"/>
        <v>187.93754108558346</v>
      </c>
      <c r="BO55" s="4">
        <f t="shared" si="11"/>
        <v>0.36080269737417053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30"/>
      <c r="BW55" s="30"/>
      <c r="BX55" s="30"/>
      <c r="BZ55" s="5" t="s">
        <v>90</v>
      </c>
      <c r="CA55" s="5" t="s">
        <v>90</v>
      </c>
      <c r="CB55" s="5" t="s">
        <v>90</v>
      </c>
      <c r="CD55" s="21"/>
      <c r="CJ55" s="5" t="s">
        <v>91</v>
      </c>
      <c r="CL55" t="s">
        <v>91</v>
      </c>
      <c r="CN55" s="5" t="s">
        <v>105</v>
      </c>
      <c r="CP55" t="s">
        <v>90</v>
      </c>
    </row>
    <row r="56" spans="1:94" x14ac:dyDescent="0.35">
      <c r="A56" s="3" t="s">
        <v>122</v>
      </c>
      <c r="B56" s="3" t="s">
        <v>161</v>
      </c>
      <c r="C56" s="3" t="s">
        <v>142</v>
      </c>
      <c r="D56" s="3" t="s">
        <v>127</v>
      </c>
      <c r="E56" s="25" t="s">
        <v>108</v>
      </c>
      <c r="F56" s="3" t="s">
        <v>85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123</v>
      </c>
      <c r="Q56" s="7"/>
      <c r="R56" s="31">
        <v>0</v>
      </c>
      <c r="S56" s="31">
        <v>0</v>
      </c>
      <c r="T56" s="31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30"/>
      <c r="AG56" s="30"/>
      <c r="AH56" s="30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30"/>
      <c r="AU56" s="30"/>
      <c r="AV56" s="30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30"/>
      <c r="BI56" s="30"/>
      <c r="BJ56" s="30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30"/>
      <c r="BW56" s="30"/>
      <c r="BX56" s="30"/>
      <c r="BZ56" s="5"/>
      <c r="CA56" s="5"/>
      <c r="CB56" s="5"/>
      <c r="CD56" s="21"/>
      <c r="CJ56" s="5"/>
      <c r="CN56" s="5" t="s">
        <v>157</v>
      </c>
    </row>
    <row r="57" spans="1:94" x14ac:dyDescent="0.35">
      <c r="A57" s="3" t="s">
        <v>66</v>
      </c>
      <c r="B57" s="3" t="s">
        <v>160</v>
      </c>
      <c r="C57" s="3" t="s">
        <v>143</v>
      </c>
      <c r="D57" s="3" t="s">
        <v>143</v>
      </c>
      <c r="E57" s="2" t="s">
        <v>107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123</v>
      </c>
      <c r="Q57" s="7">
        <v>0</v>
      </c>
      <c r="R57" s="31">
        <v>0</v>
      </c>
      <c r="S57" s="31">
        <v>0</v>
      </c>
      <c r="T57" s="31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30"/>
      <c r="AG57" s="30"/>
      <c r="AH57" s="30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30"/>
      <c r="AU57" s="30"/>
      <c r="AV57" s="30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30"/>
      <c r="BI57" s="30"/>
      <c r="BJ57" s="30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30"/>
      <c r="BW57" s="30"/>
      <c r="BX57" s="30"/>
      <c r="BZ57" s="5" t="s">
        <v>90</v>
      </c>
      <c r="CA57" s="5" t="s">
        <v>90</v>
      </c>
      <c r="CB57" s="5" t="s">
        <v>90</v>
      </c>
      <c r="CD57" s="21"/>
      <c r="CF57">
        <v>0.83</v>
      </c>
      <c r="CH57">
        <f>175278/100000</f>
        <v>1.75278</v>
      </c>
      <c r="CJ57" s="5" t="s">
        <v>91</v>
      </c>
      <c r="CL57" t="s">
        <v>91</v>
      </c>
      <c r="CN57" s="5" t="s">
        <v>105</v>
      </c>
      <c r="CP57" t="s">
        <v>91</v>
      </c>
    </row>
    <row r="58" spans="1:94" x14ac:dyDescent="0.35">
      <c r="A58" s="3" t="s">
        <v>67</v>
      </c>
      <c r="B58" s="3" t="s">
        <v>160</v>
      </c>
      <c r="C58" s="3" t="s">
        <v>147</v>
      </c>
      <c r="D58" s="3" t="s">
        <v>147</v>
      </c>
      <c r="E58" s="2" t="s">
        <v>107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1">
        <v>0</v>
      </c>
      <c r="S58" s="31">
        <v>0</v>
      </c>
      <c r="T58" s="31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30"/>
      <c r="AG58" s="30"/>
      <c r="AH58" s="30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30"/>
      <c r="AU58" s="30"/>
      <c r="AV58" s="30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30"/>
      <c r="BI58" s="30"/>
      <c r="BJ58" s="30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30"/>
      <c r="BW58" s="30"/>
      <c r="BX58" s="30"/>
      <c r="BZ58" s="5" t="s">
        <v>90</v>
      </c>
      <c r="CA58" s="5" t="s">
        <v>90</v>
      </c>
      <c r="CB58" s="5" t="s">
        <v>90</v>
      </c>
      <c r="CD58" s="21"/>
      <c r="CJ58" s="5" t="s">
        <v>91</v>
      </c>
      <c r="CL58" t="s">
        <v>91</v>
      </c>
      <c r="CN58" s="5" t="s">
        <v>105</v>
      </c>
      <c r="CP58" t="s">
        <v>91</v>
      </c>
    </row>
    <row r="59" spans="1:94" x14ac:dyDescent="0.35">
      <c r="A59" s="16" t="s">
        <v>86</v>
      </c>
      <c r="B59" s="3" t="s">
        <v>160</v>
      </c>
      <c r="C59" s="3" t="s">
        <v>142</v>
      </c>
      <c r="D59" s="16" t="s">
        <v>83</v>
      </c>
      <c r="E59" s="25" t="s">
        <v>108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1">
        <v>0</v>
      </c>
      <c r="S59" s="31">
        <v>0</v>
      </c>
      <c r="T59" s="31">
        <f t="shared" si="6"/>
        <v>0</v>
      </c>
      <c r="U59" s="15"/>
      <c r="V59" s="3"/>
      <c r="W59" s="7">
        <v>21.1</v>
      </c>
      <c r="X59" s="3">
        <v>11.781655811736277</v>
      </c>
      <c r="Y59" s="4">
        <f t="shared" si="7"/>
        <v>0.55837231335243021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30"/>
      <c r="AG59" s="30"/>
      <c r="AH59" s="30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30"/>
      <c r="AU59" s="30"/>
      <c r="AV59" s="30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30"/>
      <c r="BI59" s="30"/>
      <c r="BJ59" s="30"/>
      <c r="BL59" s="17">
        <f t="shared" si="20"/>
        <v>0</v>
      </c>
      <c r="BM59" s="17">
        <f t="shared" si="20"/>
        <v>25.1</v>
      </c>
      <c r="BN59" s="17">
        <f t="shared" si="20"/>
        <v>6.4590399475893339</v>
      </c>
      <c r="BO59" s="4">
        <f t="shared" si="11"/>
        <v>0.25733226882826032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30"/>
      <c r="BW59" s="30"/>
      <c r="BX59" s="30"/>
      <c r="BZ59" s="5" t="s">
        <v>90</v>
      </c>
      <c r="CA59" s="5" t="s">
        <v>90</v>
      </c>
      <c r="CB59" s="5" t="s">
        <v>90</v>
      </c>
      <c r="CD59" s="21"/>
      <c r="CF59">
        <v>2</v>
      </c>
      <c r="CJ59" s="5" t="s">
        <v>91</v>
      </c>
      <c r="CL59" t="s">
        <v>91</v>
      </c>
      <c r="CN59" s="5" t="s">
        <v>105</v>
      </c>
      <c r="CP59" t="s">
        <v>91</v>
      </c>
    </row>
    <row r="60" spans="1:94" x14ac:dyDescent="0.35">
      <c r="A60" s="37" t="s">
        <v>87</v>
      </c>
      <c r="B60" s="3" t="s">
        <v>160</v>
      </c>
      <c r="C60" s="3" t="s">
        <v>142</v>
      </c>
      <c r="D60" s="16" t="s">
        <v>83</v>
      </c>
      <c r="E60" s="25" t="s">
        <v>108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1">
        <v>0</v>
      </c>
      <c r="S60" s="31">
        <v>0</v>
      </c>
      <c r="T60" s="31">
        <f t="shared" si="6"/>
        <v>0</v>
      </c>
      <c r="U60" s="15"/>
      <c r="V60" s="3"/>
      <c r="W60" s="7">
        <v>25.956</v>
      </c>
      <c r="X60" s="3">
        <v>17.842736866128618</v>
      </c>
      <c r="Y60" s="4">
        <f t="shared" si="7"/>
        <v>0.6874224405196725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30"/>
      <c r="AG60" s="30"/>
      <c r="AH60" s="30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30"/>
      <c r="AU60" s="30"/>
      <c r="AV60" s="30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30"/>
      <c r="BI60" s="30"/>
      <c r="BJ60" s="30"/>
      <c r="BL60" s="17">
        <f t="shared" si="20"/>
        <v>0</v>
      </c>
      <c r="BM60" s="17">
        <f t="shared" si="20"/>
        <v>81.236000000000004</v>
      </c>
      <c r="BN60" s="17">
        <f t="shared" si="20"/>
        <v>48.061113846821968</v>
      </c>
      <c r="BO60" s="4">
        <f t="shared" si="11"/>
        <v>0.59162334244450698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30"/>
      <c r="BW60" s="30"/>
      <c r="BX60" s="30"/>
      <c r="BZ60" s="5" t="s">
        <v>90</v>
      </c>
      <c r="CA60" s="5" t="s">
        <v>90</v>
      </c>
      <c r="CB60" s="5" t="s">
        <v>90</v>
      </c>
      <c r="CD60" s="21"/>
      <c r="CF60">
        <f>1.75+1.75</f>
        <v>3.5</v>
      </c>
      <c r="CJ60" s="5" t="s">
        <v>91</v>
      </c>
      <c r="CL60" t="s">
        <v>91</v>
      </c>
      <c r="CN60" s="5" t="s">
        <v>105</v>
      </c>
      <c r="CP60" t="s">
        <v>91</v>
      </c>
    </row>
    <row r="61" spans="1:94" x14ac:dyDescent="0.35">
      <c r="A61" s="16" t="s">
        <v>109</v>
      </c>
      <c r="B61" s="3" t="s">
        <v>160</v>
      </c>
      <c r="C61" s="16" t="s">
        <v>109</v>
      </c>
      <c r="D61" s="16" t="s">
        <v>109</v>
      </c>
      <c r="E61" s="2" t="s">
        <v>107</v>
      </c>
      <c r="F61" s="16" t="s">
        <v>109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1">
        <v>0</v>
      </c>
      <c r="S61" s="31">
        <v>0</v>
      </c>
      <c r="T61" s="31">
        <f t="shared" si="6"/>
        <v>0</v>
      </c>
      <c r="V61" s="24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30"/>
      <c r="BW61" s="30"/>
      <c r="BX61" s="30"/>
      <c r="CN61" s="5" t="s">
        <v>105</v>
      </c>
    </row>
    <row r="62" spans="1:94" x14ac:dyDescent="0.35">
      <c r="A62" s="16" t="s">
        <v>110</v>
      </c>
      <c r="B62" s="3" t="s">
        <v>161</v>
      </c>
      <c r="C62" s="16" t="s">
        <v>148</v>
      </c>
      <c r="D62" s="16" t="s">
        <v>148</v>
      </c>
      <c r="E62" s="2" t="s">
        <v>107</v>
      </c>
      <c r="F62" s="16" t="s">
        <v>111</v>
      </c>
      <c r="H62" s="28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123</v>
      </c>
      <c r="Q62" s="8"/>
      <c r="R62" s="31">
        <v>0</v>
      </c>
      <c r="S62" s="31">
        <v>0</v>
      </c>
      <c r="T62" s="31">
        <f t="shared" si="6"/>
        <v>0</v>
      </c>
      <c r="V62" s="18"/>
      <c r="W62" s="7">
        <v>47.9</v>
      </c>
      <c r="X62" s="3">
        <v>35.450044634981815</v>
      </c>
      <c r="Y62" s="4">
        <f t="shared" si="7"/>
        <v>0.7400844391436705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74.978999999999999</v>
      </c>
      <c r="BN62" s="17">
        <f>X62+AL62+AZ62+J62</f>
        <v>51.403472489527267</v>
      </c>
      <c r="BO62" s="4">
        <f t="shared" si="11"/>
        <v>0.6855715932398041</v>
      </c>
      <c r="BP62" s="3">
        <f t="shared" si="17"/>
        <v>0</v>
      </c>
      <c r="CN62" s="5" t="s">
        <v>105</v>
      </c>
    </row>
    <row r="63" spans="1:94" x14ac:dyDescent="0.35">
      <c r="A63" s="37" t="s">
        <v>118</v>
      </c>
      <c r="B63" s="3" t="s">
        <v>160</v>
      </c>
      <c r="C63" s="3" t="s">
        <v>146</v>
      </c>
      <c r="D63" s="16" t="s">
        <v>119</v>
      </c>
      <c r="E63" s="2" t="s">
        <v>108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123</v>
      </c>
      <c r="Q63" s="8"/>
      <c r="R63" s="31">
        <v>0</v>
      </c>
      <c r="S63" s="31">
        <v>0</v>
      </c>
      <c r="T63" s="31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105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topLeftCell="A43" workbookViewId="0">
      <selection activeCell="F63" sqref="F63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9" t="s">
        <v>112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W1" s="39" t="s">
        <v>114</v>
      </c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L1" s="38" t="s">
        <v>115</v>
      </c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BA1" s="38" t="s">
        <v>128</v>
      </c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P1" s="38" t="s">
        <v>129</v>
      </c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E1" s="38" t="s">
        <v>130</v>
      </c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T1" s="38" t="s">
        <v>131</v>
      </c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I1" s="38" t="s">
        <v>132</v>
      </c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X1" s="38" t="s">
        <v>133</v>
      </c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M1" s="38" t="s">
        <v>134</v>
      </c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B1" s="38" t="s">
        <v>135</v>
      </c>
      <c r="FC1" s="38"/>
      <c r="FD1" s="38"/>
      <c r="FE1" s="38"/>
      <c r="FF1" s="38"/>
      <c r="FG1" s="38"/>
      <c r="FH1" s="38"/>
      <c r="FI1" s="38"/>
      <c r="FJ1" s="38"/>
      <c r="FK1" s="38"/>
      <c r="FL1" s="38"/>
      <c r="FM1" s="38"/>
      <c r="FN1" s="38"/>
      <c r="FO1" s="38"/>
      <c r="FQ1" s="38" t="s">
        <v>136</v>
      </c>
      <c r="FR1" s="38"/>
      <c r="FS1" s="38"/>
      <c r="FT1" s="38"/>
      <c r="FU1" s="38"/>
      <c r="FV1" s="38"/>
      <c r="FW1" s="38"/>
      <c r="FX1" s="38"/>
      <c r="FY1" s="38"/>
      <c r="FZ1" s="38"/>
      <c r="GA1" s="38"/>
      <c r="GB1" s="38"/>
      <c r="GC1" s="38"/>
      <c r="GD1" s="38"/>
      <c r="GF1" s="38" t="s">
        <v>158</v>
      </c>
      <c r="GG1" s="38"/>
      <c r="GH1" s="38"/>
      <c r="GI1" s="38"/>
      <c r="GJ1" s="38"/>
      <c r="GK1" s="38"/>
      <c r="GL1" s="38"/>
      <c r="GM1" s="38"/>
      <c r="GN1" s="38"/>
      <c r="GO1" s="38"/>
      <c r="GP1" s="38"/>
      <c r="GQ1" s="38"/>
      <c r="GR1" s="38"/>
      <c r="GS1" s="38"/>
    </row>
    <row r="2" spans="1:201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" t="s">
        <v>117</v>
      </c>
      <c r="I2" s="1" t="s">
        <v>113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116</v>
      </c>
      <c r="R2" s="1" t="s">
        <v>28</v>
      </c>
      <c r="S2" s="11" t="s">
        <v>124</v>
      </c>
      <c r="T2" s="11" t="s">
        <v>125</v>
      </c>
      <c r="U2" s="11" t="s">
        <v>126</v>
      </c>
      <c r="W2" s="1" t="s">
        <v>117</v>
      </c>
      <c r="X2" s="1" t="s">
        <v>113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103</v>
      </c>
      <c r="AD2" s="1" t="s">
        <v>102</v>
      </c>
      <c r="AE2" s="1" t="s">
        <v>34</v>
      </c>
      <c r="AF2" s="1" t="s">
        <v>116</v>
      </c>
      <c r="AG2" s="1" t="s">
        <v>28</v>
      </c>
      <c r="AH2" s="11" t="s">
        <v>124</v>
      </c>
      <c r="AI2" s="11" t="s">
        <v>125</v>
      </c>
      <c r="AJ2" s="11" t="s">
        <v>126</v>
      </c>
      <c r="AL2" s="1" t="s">
        <v>117</v>
      </c>
      <c r="AM2" s="1" t="s">
        <v>113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103</v>
      </c>
      <c r="AS2" s="1" t="s">
        <v>102</v>
      </c>
      <c r="AT2" s="1" t="s">
        <v>34</v>
      </c>
      <c r="AU2" s="1" t="s">
        <v>116</v>
      </c>
      <c r="AV2" s="1" t="s">
        <v>28</v>
      </c>
      <c r="AW2" s="1" t="s">
        <v>124</v>
      </c>
      <c r="AX2" s="1" t="s">
        <v>125</v>
      </c>
      <c r="AY2" s="1" t="s">
        <v>126</v>
      </c>
      <c r="BA2" s="1" t="s">
        <v>117</v>
      </c>
      <c r="BB2" s="1" t="s">
        <v>113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103</v>
      </c>
      <c r="BH2" s="1" t="s">
        <v>102</v>
      </c>
      <c r="BI2" s="1" t="s">
        <v>34</v>
      </c>
      <c r="BJ2" s="1" t="s">
        <v>116</v>
      </c>
      <c r="BK2" s="1" t="s">
        <v>28</v>
      </c>
      <c r="BL2" s="1" t="s">
        <v>124</v>
      </c>
      <c r="BM2" s="1" t="s">
        <v>125</v>
      </c>
      <c r="BN2" s="1" t="s">
        <v>126</v>
      </c>
      <c r="BP2" s="1" t="s">
        <v>117</v>
      </c>
      <c r="BQ2" s="1" t="s">
        <v>113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103</v>
      </c>
      <c r="BW2" s="1" t="s">
        <v>102</v>
      </c>
      <c r="BX2" s="1" t="s">
        <v>34</v>
      </c>
      <c r="BY2" s="1" t="s">
        <v>116</v>
      </c>
      <c r="BZ2" s="1" t="s">
        <v>28</v>
      </c>
      <c r="CA2" s="1" t="s">
        <v>124</v>
      </c>
      <c r="CB2" s="1" t="s">
        <v>125</v>
      </c>
      <c r="CC2" s="1" t="s">
        <v>126</v>
      </c>
      <c r="CE2" s="1" t="s">
        <v>117</v>
      </c>
      <c r="CF2" s="1" t="s">
        <v>113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103</v>
      </c>
      <c r="CL2" s="1" t="s">
        <v>102</v>
      </c>
      <c r="CM2" s="1" t="s">
        <v>34</v>
      </c>
      <c r="CN2" s="1" t="s">
        <v>116</v>
      </c>
      <c r="CO2" s="1" t="s">
        <v>28</v>
      </c>
      <c r="CP2" s="1" t="s">
        <v>124</v>
      </c>
      <c r="CQ2" s="1" t="s">
        <v>125</v>
      </c>
      <c r="CR2" s="1" t="s">
        <v>126</v>
      </c>
      <c r="CT2" s="1" t="s">
        <v>117</v>
      </c>
      <c r="CU2" s="1" t="s">
        <v>113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103</v>
      </c>
      <c r="DA2" s="1" t="s">
        <v>102</v>
      </c>
      <c r="DB2" s="1" t="s">
        <v>34</v>
      </c>
      <c r="DC2" s="1" t="s">
        <v>116</v>
      </c>
      <c r="DD2" s="1" t="s">
        <v>28</v>
      </c>
      <c r="DE2" s="1" t="s">
        <v>124</v>
      </c>
      <c r="DF2" s="1" t="s">
        <v>125</v>
      </c>
      <c r="DG2" s="1" t="s">
        <v>126</v>
      </c>
      <c r="DI2" s="1" t="s">
        <v>117</v>
      </c>
      <c r="DJ2" s="1" t="s">
        <v>113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103</v>
      </c>
      <c r="DP2" s="1" t="s">
        <v>102</v>
      </c>
      <c r="DQ2" s="1" t="s">
        <v>34</v>
      </c>
      <c r="DR2" s="1" t="s">
        <v>116</v>
      </c>
      <c r="DS2" s="1" t="s">
        <v>28</v>
      </c>
      <c r="DT2" s="1" t="s">
        <v>124</v>
      </c>
      <c r="DU2" s="1" t="s">
        <v>125</v>
      </c>
      <c r="DV2" s="1" t="s">
        <v>126</v>
      </c>
      <c r="DX2" s="1" t="s">
        <v>117</v>
      </c>
      <c r="DY2" s="1" t="s">
        <v>113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103</v>
      </c>
      <c r="EE2" s="1" t="s">
        <v>102</v>
      </c>
      <c r="EF2" s="1" t="s">
        <v>34</v>
      </c>
      <c r="EG2" s="1" t="s">
        <v>116</v>
      </c>
      <c r="EH2" s="1" t="s">
        <v>28</v>
      </c>
      <c r="EI2" s="1" t="s">
        <v>124</v>
      </c>
      <c r="EJ2" s="1" t="s">
        <v>125</v>
      </c>
      <c r="EK2" s="1" t="s">
        <v>126</v>
      </c>
      <c r="EM2" s="1" t="s">
        <v>117</v>
      </c>
      <c r="EN2" s="1" t="s">
        <v>113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103</v>
      </c>
      <c r="ET2" s="1" t="s">
        <v>102</v>
      </c>
      <c r="EU2" s="1" t="s">
        <v>34</v>
      </c>
      <c r="EV2" s="1" t="s">
        <v>116</v>
      </c>
      <c r="EW2" s="1" t="s">
        <v>28</v>
      </c>
      <c r="EX2" s="1" t="s">
        <v>124</v>
      </c>
      <c r="EY2" s="1" t="s">
        <v>125</v>
      </c>
      <c r="EZ2" s="1" t="s">
        <v>126</v>
      </c>
      <c r="FB2" s="1" t="s">
        <v>117</v>
      </c>
      <c r="FC2" s="1" t="s">
        <v>113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103</v>
      </c>
      <c r="FI2" s="1" t="s">
        <v>102</v>
      </c>
      <c r="FJ2" s="1" t="s">
        <v>34</v>
      </c>
      <c r="FK2" s="1" t="s">
        <v>116</v>
      </c>
      <c r="FL2" s="1" t="s">
        <v>28</v>
      </c>
      <c r="FM2" s="1" t="s">
        <v>124</v>
      </c>
      <c r="FN2" s="1" t="s">
        <v>125</v>
      </c>
      <c r="FO2" s="1" t="s">
        <v>126</v>
      </c>
      <c r="FQ2" s="1" t="s">
        <v>117</v>
      </c>
      <c r="FR2" s="1" t="s">
        <v>113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103</v>
      </c>
      <c r="FX2" s="1" t="s">
        <v>102</v>
      </c>
      <c r="FY2" s="1" t="s">
        <v>34</v>
      </c>
      <c r="FZ2" s="1" t="s">
        <v>116</v>
      </c>
      <c r="GA2" s="1" t="s">
        <v>28</v>
      </c>
      <c r="GB2" s="1" t="s">
        <v>124</v>
      </c>
      <c r="GC2" s="1" t="s">
        <v>125</v>
      </c>
      <c r="GD2" s="1" t="s">
        <v>126</v>
      </c>
      <c r="GF2" s="1" t="s">
        <v>117</v>
      </c>
      <c r="GG2" s="1" t="s">
        <v>113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103</v>
      </c>
      <c r="GM2" s="1" t="s">
        <v>102</v>
      </c>
      <c r="GN2" s="1" t="s">
        <v>34</v>
      </c>
      <c r="GO2" s="1" t="s">
        <v>116</v>
      </c>
      <c r="GP2" s="1" t="s">
        <v>28</v>
      </c>
      <c r="GQ2" s="1" t="s">
        <v>124</v>
      </c>
      <c r="GR2" s="1" t="s">
        <v>125</v>
      </c>
      <c r="GS2" s="1" t="s">
        <v>126</v>
      </c>
    </row>
    <row r="3" spans="1:201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30">
        <v>148</v>
      </c>
      <c r="T3" s="30">
        <v>100</v>
      </c>
      <c r="U3" s="30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30">
        <v>214.79999999999998</v>
      </c>
      <c r="AI3" s="30">
        <v>143.20000000000002</v>
      </c>
      <c r="AJ3" s="30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5">
        <f>S3+AH3+AW3+BL3+CA3+CP3+DE3+DT3+EI3+EX3+FM3+GB3</f>
        <v>533.79999999999995</v>
      </c>
      <c r="GR3" s="35">
        <f>T3+AI3+AX3+BM3+CB3+CQ3+DF3+DU3+EJ3+EY3+FN3+GC3</f>
        <v>458.20000000000005</v>
      </c>
      <c r="GS3" s="35">
        <f>U3+AJ3+AY3+BN3+CC3+CR3+DG3+DV3+EK3+EZ3+FO3+GD3</f>
        <v>992</v>
      </c>
    </row>
    <row r="4" spans="1:201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123</v>
      </c>
      <c r="Q4" s="6"/>
      <c r="R4" s="7">
        <v>1.1281000000000001</v>
      </c>
      <c r="S4" s="30">
        <v>1</v>
      </c>
      <c r="T4" s="30">
        <v>2</v>
      </c>
      <c r="U4" s="30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123</v>
      </c>
      <c r="AF4" s="3">
        <v>7.25</v>
      </c>
      <c r="AG4" s="7">
        <v>3.0208333333333339</v>
      </c>
      <c r="AH4" s="30">
        <v>2</v>
      </c>
      <c r="AI4" s="30">
        <v>4</v>
      </c>
      <c r="AJ4" s="30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5">
        <f t="shared" ref="GQ4:GQ64" si="22">S4+AH4+AW4+BL4+CA4+CP4+DE4+DT4+EI4+EX4+FM4+GB4</f>
        <v>5</v>
      </c>
      <c r="GR4" s="35">
        <f t="shared" ref="GR4:GR64" si="23">T4+AI4+AX4+BM4+CB4+CQ4+DF4+DU4+EJ4+EY4+FN4+GC4</f>
        <v>10</v>
      </c>
      <c r="GS4" s="35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30">
        <v>9</v>
      </c>
      <c r="T5" s="30">
        <v>11</v>
      </c>
      <c r="U5" s="30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30">
        <v>13</v>
      </c>
      <c r="AI5" s="30">
        <v>0</v>
      </c>
      <c r="AJ5" s="30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5">
        <f t="shared" si="22"/>
        <v>28</v>
      </c>
      <c r="GR5" s="35">
        <f t="shared" si="23"/>
        <v>17</v>
      </c>
      <c r="GS5" s="35">
        <f t="shared" si="24"/>
        <v>45</v>
      </c>
    </row>
    <row r="6" spans="1:201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30">
        <v>16</v>
      </c>
      <c r="T6" s="30">
        <v>10</v>
      </c>
      <c r="U6" s="30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30">
        <v>11</v>
      </c>
      <c r="AI6" s="30">
        <v>12</v>
      </c>
      <c r="AJ6" s="30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5">
        <f t="shared" si="22"/>
        <v>45</v>
      </c>
      <c r="GR6" s="35">
        <f t="shared" si="23"/>
        <v>33</v>
      </c>
      <c r="GS6" s="35">
        <f t="shared" si="24"/>
        <v>78</v>
      </c>
    </row>
    <row r="7" spans="1:201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30">
        <v>9</v>
      </c>
      <c r="T7" s="30">
        <v>1</v>
      </c>
      <c r="U7" s="30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30">
        <v>11</v>
      </c>
      <c r="AI7" s="30">
        <v>5</v>
      </c>
      <c r="AJ7" s="30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5">
        <f t="shared" si="22"/>
        <v>33</v>
      </c>
      <c r="GR7" s="35">
        <f t="shared" si="23"/>
        <v>8</v>
      </c>
      <c r="GS7" s="35">
        <f t="shared" si="24"/>
        <v>41</v>
      </c>
    </row>
    <row r="8" spans="1:201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30">
        <v>23</v>
      </c>
      <c r="T8" s="30">
        <v>14</v>
      </c>
      <c r="U8" s="30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30">
        <v>27</v>
      </c>
      <c r="AI8" s="30">
        <v>14</v>
      </c>
      <c r="AJ8" s="30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5">
        <f t="shared" si="22"/>
        <v>67</v>
      </c>
      <c r="GR8" s="35">
        <f t="shared" si="23"/>
        <v>44</v>
      </c>
      <c r="GS8" s="35">
        <f t="shared" si="24"/>
        <v>111</v>
      </c>
    </row>
    <row r="9" spans="1:201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30">
        <v>20</v>
      </c>
      <c r="T9" s="30">
        <v>28</v>
      </c>
      <c r="U9" s="30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30">
        <v>11</v>
      </c>
      <c r="AI9" s="30">
        <v>0</v>
      </c>
      <c r="AJ9" s="30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5">
        <f t="shared" si="22"/>
        <v>50</v>
      </c>
      <c r="GR9" s="35">
        <f t="shared" si="23"/>
        <v>51</v>
      </c>
      <c r="GS9" s="35">
        <f t="shared" si="24"/>
        <v>101</v>
      </c>
    </row>
    <row r="10" spans="1:201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30">
        <v>3</v>
      </c>
      <c r="T10" s="30">
        <v>2</v>
      </c>
      <c r="U10" s="30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123</v>
      </c>
      <c r="AF10" s="3"/>
      <c r="AG10" s="7">
        <v>1.9044278846153846</v>
      </c>
      <c r="AH10" s="30">
        <v>4</v>
      </c>
      <c r="AI10" s="30">
        <v>5</v>
      </c>
      <c r="AJ10" s="30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5">
        <f t="shared" si="22"/>
        <v>12</v>
      </c>
      <c r="GR10" s="35">
        <f t="shared" si="23"/>
        <v>10</v>
      </c>
      <c r="GS10" s="35">
        <f t="shared" si="24"/>
        <v>22</v>
      </c>
    </row>
    <row r="11" spans="1:201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30">
        <v>26</v>
      </c>
      <c r="T11" s="30">
        <v>29</v>
      </c>
      <c r="U11" s="30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30">
        <v>13</v>
      </c>
      <c r="AI11" s="30">
        <v>22</v>
      </c>
      <c r="AJ11" s="30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5">
        <f t="shared" si="22"/>
        <v>63</v>
      </c>
      <c r="GR11" s="35">
        <f t="shared" si="23"/>
        <v>86</v>
      </c>
      <c r="GS11" s="35">
        <f t="shared" si="24"/>
        <v>149</v>
      </c>
    </row>
    <row r="12" spans="1:201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30">
        <v>271</v>
      </c>
      <c r="T12" s="30">
        <v>60</v>
      </c>
      <c r="U12" s="30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30">
        <v>152</v>
      </c>
      <c r="AI12" s="30">
        <v>79</v>
      </c>
      <c r="AJ12" s="30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5">
        <f t="shared" si="22"/>
        <v>524</v>
      </c>
      <c r="GR12" s="35">
        <f t="shared" si="23"/>
        <v>182</v>
      </c>
      <c r="GS12" s="35">
        <f t="shared" si="24"/>
        <v>706</v>
      </c>
    </row>
    <row r="13" spans="1:201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30">
        <v>4</v>
      </c>
      <c r="T13" s="30">
        <v>0</v>
      </c>
      <c r="U13" s="30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30">
        <v>1</v>
      </c>
      <c r="AI13" s="30">
        <v>2</v>
      </c>
      <c r="AJ13" s="30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5">
        <f t="shared" si="22"/>
        <v>5</v>
      </c>
      <c r="GR13" s="35">
        <f t="shared" si="23"/>
        <v>7</v>
      </c>
      <c r="GS13" s="35">
        <f t="shared" si="24"/>
        <v>12</v>
      </c>
    </row>
    <row r="14" spans="1:201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30">
        <v>5</v>
      </c>
      <c r="T14" s="30">
        <v>0</v>
      </c>
      <c r="U14" s="30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30">
        <v>0</v>
      </c>
      <c r="AI14" s="30">
        <v>0</v>
      </c>
      <c r="AJ14" s="30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5">
        <f t="shared" si="22"/>
        <v>5</v>
      </c>
      <c r="GR14" s="35">
        <f t="shared" si="23"/>
        <v>0</v>
      </c>
      <c r="GS14" s="35">
        <f t="shared" si="24"/>
        <v>5</v>
      </c>
    </row>
    <row r="15" spans="1:201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30">
        <v>0</v>
      </c>
      <c r="T15" s="30">
        <v>0</v>
      </c>
      <c r="U15" s="30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30"/>
      <c r="AI15" s="30">
        <v>0</v>
      </c>
      <c r="AJ15" s="30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5">
        <f t="shared" si="22"/>
        <v>0</v>
      </c>
      <c r="GR15" s="35">
        <f t="shared" si="23"/>
        <v>0</v>
      </c>
      <c r="GS15" s="35">
        <f t="shared" si="24"/>
        <v>0</v>
      </c>
    </row>
    <row r="16" spans="1:201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30">
        <v>13</v>
      </c>
      <c r="T16" s="30">
        <v>0</v>
      </c>
      <c r="U16" s="30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30">
        <v>15</v>
      </c>
      <c r="AI16" s="30">
        <v>0</v>
      </c>
      <c r="AJ16" s="30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5">
        <f t="shared" si="22"/>
        <v>35</v>
      </c>
      <c r="GR16" s="35">
        <f t="shared" si="23"/>
        <v>0</v>
      </c>
      <c r="GS16" s="35">
        <f t="shared" si="24"/>
        <v>35</v>
      </c>
    </row>
    <row r="17" spans="1:201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30">
        <v>140</v>
      </c>
      <c r="T17" s="30">
        <v>111</v>
      </c>
      <c r="U17" s="30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30">
        <v>118</v>
      </c>
      <c r="AI17" s="30">
        <v>115</v>
      </c>
      <c r="AJ17" s="30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5">
        <f t="shared" si="22"/>
        <v>389</v>
      </c>
      <c r="GR17" s="35">
        <f t="shared" si="23"/>
        <v>418</v>
      </c>
      <c r="GS17" s="35">
        <f t="shared" si="24"/>
        <v>807</v>
      </c>
    </row>
    <row r="18" spans="1:201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30">
        <v>2</v>
      </c>
      <c r="T18" s="30">
        <v>7</v>
      </c>
      <c r="U18" s="30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30">
        <v>2</v>
      </c>
      <c r="AI18" s="30">
        <v>6</v>
      </c>
      <c r="AJ18" s="30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5">
        <f t="shared" si="22"/>
        <v>9</v>
      </c>
      <c r="GR18" s="35">
        <f t="shared" si="23"/>
        <v>17</v>
      </c>
      <c r="GS18" s="35">
        <f t="shared" si="24"/>
        <v>26</v>
      </c>
    </row>
    <row r="19" spans="1:201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30">
        <v>62</v>
      </c>
      <c r="T19" s="30">
        <v>0</v>
      </c>
      <c r="U19" s="30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30">
        <v>51</v>
      </c>
      <c r="AI19" s="30">
        <v>0</v>
      </c>
      <c r="AJ19" s="30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5">
        <f t="shared" si="22"/>
        <v>132</v>
      </c>
      <c r="GR19" s="35">
        <f t="shared" si="23"/>
        <v>0</v>
      </c>
      <c r="GS19" s="35">
        <f t="shared" si="24"/>
        <v>132</v>
      </c>
    </row>
    <row r="20" spans="1:201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30">
        <v>8</v>
      </c>
      <c r="T20" s="30">
        <v>16</v>
      </c>
      <c r="U20" s="30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30">
        <v>19</v>
      </c>
      <c r="AI20" s="30">
        <v>8</v>
      </c>
      <c r="AJ20" s="30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5">
        <f t="shared" si="22"/>
        <v>32</v>
      </c>
      <c r="GR20" s="35">
        <f t="shared" si="23"/>
        <v>33</v>
      </c>
      <c r="GS20" s="35">
        <f t="shared" si="24"/>
        <v>65</v>
      </c>
    </row>
    <row r="21" spans="1:201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30">
        <v>32</v>
      </c>
      <c r="T21" s="30">
        <v>10</v>
      </c>
      <c r="U21" s="30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30">
        <v>41</v>
      </c>
      <c r="AI21" s="30">
        <v>8</v>
      </c>
      <c r="AJ21" s="30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5">
        <f t="shared" si="22"/>
        <v>165</v>
      </c>
      <c r="GR21" s="35">
        <f t="shared" si="23"/>
        <v>131</v>
      </c>
      <c r="GS21" s="35">
        <f t="shared" si="24"/>
        <v>296</v>
      </c>
    </row>
    <row r="22" spans="1:201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30">
        <v>0</v>
      </c>
      <c r="T22" s="30">
        <v>0</v>
      </c>
      <c r="U22" s="30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123</v>
      </c>
      <c r="AF22" s="3"/>
      <c r="AG22" s="7">
        <v>0</v>
      </c>
      <c r="AH22" s="30">
        <v>0</v>
      </c>
      <c r="AI22" s="30">
        <v>0</v>
      </c>
      <c r="AJ22" s="30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5">
        <f t="shared" si="22"/>
        <v>1</v>
      </c>
      <c r="GR22" s="35">
        <f t="shared" si="23"/>
        <v>1</v>
      </c>
      <c r="GS22" s="35">
        <f t="shared" si="24"/>
        <v>2</v>
      </c>
    </row>
    <row r="23" spans="1:201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30">
        <v>1</v>
      </c>
      <c r="T23" s="30">
        <v>0</v>
      </c>
      <c r="U23" s="30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123</v>
      </c>
      <c r="AF23" s="3">
        <v>1.7064900000000001</v>
      </c>
      <c r="AG23" s="7">
        <v>1.7064900000000001</v>
      </c>
      <c r="AH23" s="30">
        <v>1</v>
      </c>
      <c r="AI23" s="30">
        <v>1</v>
      </c>
      <c r="AJ23" s="30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5">
        <f t="shared" si="22"/>
        <v>2</v>
      </c>
      <c r="GR23" s="35">
        <f t="shared" si="23"/>
        <v>1</v>
      </c>
      <c r="GS23" s="35">
        <f t="shared" si="24"/>
        <v>3</v>
      </c>
    </row>
    <row r="24" spans="1:201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30">
        <v>6</v>
      </c>
      <c r="T24" s="30">
        <v>0</v>
      </c>
      <c r="U24" s="30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30">
        <v>9</v>
      </c>
      <c r="AI24" s="30">
        <v>0</v>
      </c>
      <c r="AJ24" s="30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5">
        <f t="shared" si="22"/>
        <v>26</v>
      </c>
      <c r="GR24" s="35">
        <f t="shared" si="23"/>
        <v>0</v>
      </c>
      <c r="GS24" s="35">
        <f t="shared" si="24"/>
        <v>26</v>
      </c>
    </row>
    <row r="25" spans="1:201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30">
        <v>11</v>
      </c>
      <c r="T25" s="30">
        <v>3</v>
      </c>
      <c r="U25" s="30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30">
        <v>16</v>
      </c>
      <c r="AI25" s="30">
        <v>0</v>
      </c>
      <c r="AJ25" s="30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5">
        <f t="shared" si="22"/>
        <v>39</v>
      </c>
      <c r="GR25" s="35">
        <f t="shared" si="23"/>
        <v>6</v>
      </c>
      <c r="GS25" s="35">
        <f t="shared" si="24"/>
        <v>45</v>
      </c>
    </row>
    <row r="26" spans="1:201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30">
        <v>15</v>
      </c>
      <c r="T26" s="30">
        <v>7</v>
      </c>
      <c r="U26" s="30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30">
        <v>41</v>
      </c>
      <c r="AI26" s="30">
        <v>9</v>
      </c>
      <c r="AJ26" s="30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5">
        <f t="shared" si="22"/>
        <v>110.94</v>
      </c>
      <c r="GR26" s="35">
        <f t="shared" si="23"/>
        <v>28.060000000000002</v>
      </c>
      <c r="GS26" s="35">
        <f t="shared" si="24"/>
        <v>139</v>
      </c>
    </row>
    <row r="27" spans="1:201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30">
        <v>0</v>
      </c>
      <c r="T27" s="30">
        <v>0</v>
      </c>
      <c r="U27" s="30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123</v>
      </c>
      <c r="AF27" s="3"/>
      <c r="AG27" s="7">
        <v>0</v>
      </c>
      <c r="AH27" s="30">
        <v>0</v>
      </c>
      <c r="AI27" s="30">
        <v>0</v>
      </c>
      <c r="AJ27" s="30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5">
        <f t="shared" si="22"/>
        <v>0</v>
      </c>
      <c r="GR27" s="35">
        <f t="shared" si="23"/>
        <v>0</v>
      </c>
      <c r="GS27" s="35">
        <f t="shared" si="24"/>
        <v>0</v>
      </c>
    </row>
    <row r="28" spans="1:201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30">
        <v>13</v>
      </c>
      <c r="T28" s="30">
        <v>20</v>
      </c>
      <c r="U28" s="30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30">
        <v>19</v>
      </c>
      <c r="AI28" s="30">
        <v>29</v>
      </c>
      <c r="AJ28" s="30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5">
        <f t="shared" si="22"/>
        <v>57</v>
      </c>
      <c r="GR28" s="35">
        <f t="shared" si="23"/>
        <v>66</v>
      </c>
      <c r="GS28" s="35">
        <f t="shared" si="24"/>
        <v>123</v>
      </c>
    </row>
    <row r="29" spans="1:201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30">
        <v>8</v>
      </c>
      <c r="T29" s="30">
        <v>1</v>
      </c>
      <c r="U29" s="30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30">
        <v>8</v>
      </c>
      <c r="AI29" s="30">
        <v>0</v>
      </c>
      <c r="AJ29" s="30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5">
        <f t="shared" si="22"/>
        <v>31</v>
      </c>
      <c r="GR29" s="35">
        <f t="shared" si="23"/>
        <v>4</v>
      </c>
      <c r="GS29" s="35">
        <f t="shared" si="24"/>
        <v>35</v>
      </c>
    </row>
    <row r="30" spans="1:201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30">
        <v>0</v>
      </c>
      <c r="T30" s="30">
        <v>0</v>
      </c>
      <c r="U30" s="30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123</v>
      </c>
      <c r="AF30" s="3"/>
      <c r="AG30" s="7">
        <v>0</v>
      </c>
      <c r="AH30" s="30">
        <v>0</v>
      </c>
      <c r="AI30" s="30">
        <v>0</v>
      </c>
      <c r="AJ30" s="30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5">
        <f t="shared" si="22"/>
        <v>1</v>
      </c>
      <c r="GR30" s="35">
        <f t="shared" si="23"/>
        <v>0</v>
      </c>
      <c r="GS30" s="35">
        <f t="shared" si="24"/>
        <v>1</v>
      </c>
    </row>
    <row r="31" spans="1:201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30">
        <v>53</v>
      </c>
      <c r="T31" s="30">
        <v>18</v>
      </c>
      <c r="U31" s="30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30">
        <v>81</v>
      </c>
      <c r="AI31" s="30">
        <v>0</v>
      </c>
      <c r="AJ31" s="30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5">
        <f t="shared" si="22"/>
        <v>173</v>
      </c>
      <c r="GR31" s="35">
        <f t="shared" si="23"/>
        <v>27</v>
      </c>
      <c r="GS31" s="35">
        <f t="shared" si="24"/>
        <v>200</v>
      </c>
    </row>
    <row r="32" spans="1:201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30">
        <v>41</v>
      </c>
      <c r="T32" s="30">
        <v>59</v>
      </c>
      <c r="U32" s="30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30">
        <v>25</v>
      </c>
      <c r="AI32" s="30">
        <v>117</v>
      </c>
      <c r="AJ32" s="30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5">
        <f t="shared" si="22"/>
        <v>96</v>
      </c>
      <c r="GR32" s="35">
        <f t="shared" si="23"/>
        <v>235</v>
      </c>
      <c r="GS32" s="35">
        <f t="shared" si="24"/>
        <v>331</v>
      </c>
    </row>
    <row r="33" spans="1:201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30">
        <v>0</v>
      </c>
      <c r="T33" s="30">
        <v>0</v>
      </c>
      <c r="U33" s="30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30">
        <v>0</v>
      </c>
      <c r="AI33" s="30">
        <v>0</v>
      </c>
      <c r="AJ33" s="30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5">
        <f t="shared" si="22"/>
        <v>0</v>
      </c>
      <c r="GR33" s="35">
        <f t="shared" si="23"/>
        <v>0</v>
      </c>
      <c r="GS33" s="35">
        <f t="shared" si="24"/>
        <v>0</v>
      </c>
    </row>
    <row r="34" spans="1:201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30">
        <v>0</v>
      </c>
      <c r="T34" s="30">
        <v>0</v>
      </c>
      <c r="U34" s="30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123</v>
      </c>
      <c r="AF34" s="3"/>
      <c r="AG34" s="7">
        <v>0</v>
      </c>
      <c r="AH34" s="30">
        <v>0</v>
      </c>
      <c r="AI34" s="30">
        <v>0</v>
      </c>
      <c r="AJ34" s="30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5">
        <f t="shared" si="22"/>
        <v>0</v>
      </c>
      <c r="GR34" s="35">
        <f t="shared" si="23"/>
        <v>0</v>
      </c>
      <c r="GS34" s="35">
        <f t="shared" si="24"/>
        <v>0</v>
      </c>
    </row>
    <row r="35" spans="1:201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30">
        <v>5</v>
      </c>
      <c r="T35" s="30">
        <v>0</v>
      </c>
      <c r="U35" s="30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30">
        <v>0</v>
      </c>
      <c r="AI35" s="30">
        <v>5</v>
      </c>
      <c r="AJ35" s="30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5">
        <f t="shared" si="22"/>
        <v>6</v>
      </c>
      <c r="GR35" s="35">
        <f t="shared" si="23"/>
        <v>5</v>
      </c>
      <c r="GS35" s="35">
        <f t="shared" si="24"/>
        <v>11</v>
      </c>
    </row>
    <row r="36" spans="1:201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30">
        <v>7</v>
      </c>
      <c r="T36" s="30">
        <v>2</v>
      </c>
      <c r="U36" s="30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30">
        <v>10</v>
      </c>
      <c r="AI36" s="30">
        <v>2</v>
      </c>
      <c r="AJ36" s="30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5">
        <f t="shared" si="22"/>
        <v>26</v>
      </c>
      <c r="GR36" s="35">
        <f t="shared" si="23"/>
        <v>5</v>
      </c>
      <c r="GS36" s="35">
        <f t="shared" si="24"/>
        <v>31</v>
      </c>
    </row>
    <row r="37" spans="1:201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30">
        <v>134</v>
      </c>
      <c r="T37" s="30">
        <v>0</v>
      </c>
      <c r="U37" s="30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30">
        <v>92</v>
      </c>
      <c r="AI37" s="30">
        <v>0</v>
      </c>
      <c r="AJ37" s="30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5">
        <f t="shared" si="22"/>
        <v>277</v>
      </c>
      <c r="GR37" s="35">
        <f t="shared" si="23"/>
        <v>77</v>
      </c>
      <c r="GS37" s="35">
        <f t="shared" si="24"/>
        <v>354</v>
      </c>
    </row>
    <row r="38" spans="1:201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30">
        <v>12</v>
      </c>
      <c r="T38" s="30">
        <v>22</v>
      </c>
      <c r="U38" s="30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30">
        <v>12</v>
      </c>
      <c r="AI38" s="30">
        <v>22</v>
      </c>
      <c r="AJ38" s="30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5">
        <f t="shared" si="22"/>
        <v>40</v>
      </c>
      <c r="GR38" s="35">
        <f t="shared" si="23"/>
        <v>52</v>
      </c>
      <c r="GS38" s="35">
        <f t="shared" si="24"/>
        <v>92</v>
      </c>
    </row>
    <row r="39" spans="1:201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30">
        <v>8</v>
      </c>
      <c r="T39" s="30">
        <v>4</v>
      </c>
      <c r="U39" s="30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30">
        <v>5</v>
      </c>
      <c r="AI39" s="30">
        <v>1</v>
      </c>
      <c r="AJ39" s="30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5">
        <f t="shared" si="22"/>
        <v>21</v>
      </c>
      <c r="GR39" s="35">
        <f t="shared" si="23"/>
        <v>6</v>
      </c>
      <c r="GS39" s="35">
        <f t="shared" si="24"/>
        <v>27</v>
      </c>
    </row>
    <row r="40" spans="1:201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30">
        <v>3</v>
      </c>
      <c r="T40" s="30">
        <v>0</v>
      </c>
      <c r="U40" s="30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30">
        <v>11</v>
      </c>
      <c r="AI40" s="30">
        <v>0</v>
      </c>
      <c r="AJ40" s="30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5">
        <f t="shared" si="22"/>
        <v>21</v>
      </c>
      <c r="GR40" s="35">
        <f t="shared" si="23"/>
        <v>0</v>
      </c>
      <c r="GS40" s="35">
        <f t="shared" si="24"/>
        <v>21</v>
      </c>
    </row>
    <row r="41" spans="1:201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30">
        <v>0</v>
      </c>
      <c r="T41" s="30">
        <v>0</v>
      </c>
      <c r="U41" s="30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30"/>
      <c r="AI41" s="30">
        <v>0</v>
      </c>
      <c r="AJ41" s="30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5">
        <f t="shared" si="22"/>
        <v>0</v>
      </c>
      <c r="GR41" s="35">
        <f t="shared" si="23"/>
        <v>0</v>
      </c>
      <c r="GS41" s="35">
        <f t="shared" si="24"/>
        <v>0</v>
      </c>
    </row>
    <row r="42" spans="1:201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30">
        <v>7</v>
      </c>
      <c r="T42" s="30">
        <v>13</v>
      </c>
      <c r="U42" s="30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30">
        <v>8</v>
      </c>
      <c r="AI42" s="30">
        <v>1</v>
      </c>
      <c r="AJ42" s="30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5">
        <f t="shared" si="22"/>
        <v>21</v>
      </c>
      <c r="GR42" s="35">
        <f t="shared" si="23"/>
        <v>27</v>
      </c>
      <c r="GS42" s="35">
        <f t="shared" si="24"/>
        <v>48</v>
      </c>
    </row>
    <row r="43" spans="1:201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30">
        <v>0</v>
      </c>
      <c r="T43" s="30">
        <v>0</v>
      </c>
      <c r="U43" s="30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30">
        <v>0</v>
      </c>
      <c r="AI43" s="30">
        <v>0</v>
      </c>
      <c r="AJ43" s="30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5">
        <f t="shared" si="22"/>
        <v>1</v>
      </c>
      <c r="GR43" s="35">
        <f t="shared" si="23"/>
        <v>0</v>
      </c>
      <c r="GS43" s="35">
        <f t="shared" si="24"/>
        <v>1</v>
      </c>
    </row>
    <row r="44" spans="1:201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30">
        <v>1</v>
      </c>
      <c r="T44" s="30">
        <v>0</v>
      </c>
      <c r="U44" s="30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30">
        <v>7</v>
      </c>
      <c r="AI44" s="30">
        <v>0</v>
      </c>
      <c r="AJ44" s="30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5">
        <f t="shared" si="22"/>
        <v>14</v>
      </c>
      <c r="GR44" s="35">
        <f t="shared" si="23"/>
        <v>0</v>
      </c>
      <c r="GS44" s="35">
        <f t="shared" si="24"/>
        <v>14</v>
      </c>
    </row>
    <row r="45" spans="1:201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30">
        <v>5</v>
      </c>
      <c r="T45" s="30">
        <v>0</v>
      </c>
      <c r="U45" s="30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30">
        <v>7</v>
      </c>
      <c r="AI45" s="30">
        <v>2</v>
      </c>
      <c r="AJ45" s="30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5">
        <f t="shared" si="22"/>
        <v>20</v>
      </c>
      <c r="GR45" s="35">
        <f t="shared" si="23"/>
        <v>2</v>
      </c>
      <c r="GS45" s="35">
        <f t="shared" si="24"/>
        <v>22</v>
      </c>
    </row>
    <row r="46" spans="1:201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30">
        <v>12</v>
      </c>
      <c r="T46" s="30">
        <v>8</v>
      </c>
      <c r="U46" s="30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30">
        <v>16</v>
      </c>
      <c r="AI46" s="30">
        <v>5</v>
      </c>
      <c r="AJ46" s="30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5">
        <f t="shared" si="22"/>
        <v>45</v>
      </c>
      <c r="GR46" s="35">
        <f t="shared" si="23"/>
        <v>33</v>
      </c>
      <c r="GS46" s="35">
        <f t="shared" si="24"/>
        <v>78</v>
      </c>
    </row>
    <row r="47" spans="1:201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30">
        <v>8</v>
      </c>
      <c r="T47" s="30">
        <v>0</v>
      </c>
      <c r="U47" s="30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30">
        <v>7</v>
      </c>
      <c r="AI47" s="30">
        <v>0</v>
      </c>
      <c r="AJ47" s="30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5">
        <f t="shared" si="22"/>
        <v>20</v>
      </c>
      <c r="GR47" s="35">
        <f t="shared" si="23"/>
        <v>0</v>
      </c>
      <c r="GS47" s="35">
        <f t="shared" si="24"/>
        <v>20</v>
      </c>
    </row>
    <row r="48" spans="1:201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30">
        <v>100</v>
      </c>
      <c r="T48" s="30">
        <v>14</v>
      </c>
      <c r="U48" s="30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30">
        <v>110</v>
      </c>
      <c r="AI48" s="30">
        <v>10</v>
      </c>
      <c r="AJ48" s="30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5">
        <f t="shared" si="22"/>
        <v>280.95</v>
      </c>
      <c r="GR48" s="35">
        <f t="shared" si="23"/>
        <v>82.050000000000011</v>
      </c>
      <c r="GS48" s="35">
        <f t="shared" si="24"/>
        <v>363</v>
      </c>
    </row>
    <row r="49" spans="1:201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30">
        <v>21</v>
      </c>
      <c r="T49" s="30">
        <v>4</v>
      </c>
      <c r="U49" s="30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30">
        <v>39</v>
      </c>
      <c r="AI49" s="30">
        <v>7</v>
      </c>
      <c r="AJ49" s="30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5">
        <f t="shared" si="22"/>
        <v>85</v>
      </c>
      <c r="GR49" s="35">
        <f t="shared" si="23"/>
        <v>13</v>
      </c>
      <c r="GS49" s="35">
        <f t="shared" si="24"/>
        <v>98</v>
      </c>
    </row>
    <row r="50" spans="1:201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30">
        <v>3</v>
      </c>
      <c r="T50" s="30">
        <v>0</v>
      </c>
      <c r="U50" s="30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30">
        <v>7</v>
      </c>
      <c r="AI50" s="30">
        <v>0</v>
      </c>
      <c r="AJ50" s="30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5">
        <f t="shared" si="22"/>
        <v>15</v>
      </c>
      <c r="GR50" s="35">
        <f t="shared" si="23"/>
        <v>0</v>
      </c>
      <c r="GS50" s="35">
        <f t="shared" si="24"/>
        <v>15</v>
      </c>
    </row>
    <row r="51" spans="1:201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30">
        <v>0</v>
      </c>
      <c r="T51" s="30">
        <v>0</v>
      </c>
      <c r="U51" s="30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30">
        <v>2</v>
      </c>
      <c r="AI51" s="30">
        <v>0</v>
      </c>
      <c r="AJ51" s="30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5">
        <f t="shared" si="22"/>
        <v>2</v>
      </c>
      <c r="GR51" s="35">
        <f t="shared" si="23"/>
        <v>0</v>
      </c>
      <c r="GS51" s="35">
        <f t="shared" si="24"/>
        <v>2</v>
      </c>
    </row>
    <row r="52" spans="1:201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30">
        <v>0</v>
      </c>
      <c r="T52" s="30">
        <v>0</v>
      </c>
      <c r="U52" s="30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30">
        <v>0</v>
      </c>
      <c r="AI52" s="30">
        <v>0</v>
      </c>
      <c r="AJ52" s="30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5">
        <f t="shared" si="22"/>
        <v>0</v>
      </c>
      <c r="GR52" s="35">
        <f t="shared" si="23"/>
        <v>1</v>
      </c>
      <c r="GS52" s="35">
        <f t="shared" si="24"/>
        <v>1</v>
      </c>
    </row>
    <row r="53" spans="1:201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30">
        <v>0</v>
      </c>
      <c r="T53" s="30">
        <v>0</v>
      </c>
      <c r="U53" s="30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123</v>
      </c>
      <c r="AF53" s="3"/>
      <c r="AG53" s="7">
        <v>0</v>
      </c>
      <c r="AH53" s="30">
        <v>0</v>
      </c>
      <c r="AI53" s="30">
        <v>0</v>
      </c>
      <c r="AJ53" s="30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5">
        <f t="shared" si="22"/>
        <v>0</v>
      </c>
      <c r="GR53" s="35">
        <f t="shared" si="23"/>
        <v>0</v>
      </c>
      <c r="GS53" s="35">
        <f t="shared" si="24"/>
        <v>0</v>
      </c>
    </row>
    <row r="54" spans="1:201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30">
        <v>0</v>
      </c>
      <c r="T54" s="30">
        <v>0</v>
      </c>
      <c r="U54" s="30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123</v>
      </c>
      <c r="AF54" s="3"/>
      <c r="AG54" s="7">
        <v>0</v>
      </c>
      <c r="AH54" s="30">
        <v>0</v>
      </c>
      <c r="AI54" s="30">
        <v>0</v>
      </c>
      <c r="AJ54" s="30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5">
        <f t="shared" si="22"/>
        <v>0</v>
      </c>
      <c r="GR54" s="35">
        <f t="shared" si="23"/>
        <v>0</v>
      </c>
      <c r="GS54" s="35">
        <f t="shared" si="24"/>
        <v>0</v>
      </c>
    </row>
    <row r="55" spans="1:201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30">
        <v>0</v>
      </c>
      <c r="T55" s="30">
        <v>0</v>
      </c>
      <c r="U55" s="30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30">
        <v>1</v>
      </c>
      <c r="AI55" s="30">
        <v>3</v>
      </c>
      <c r="AJ55" s="30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5">
        <f t="shared" si="22"/>
        <v>12</v>
      </c>
      <c r="GR55" s="35">
        <f t="shared" si="23"/>
        <v>11</v>
      </c>
      <c r="GS55" s="35">
        <f t="shared" si="24"/>
        <v>23</v>
      </c>
    </row>
    <row r="56" spans="1:201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30">
        <v>0</v>
      </c>
      <c r="T56" s="30">
        <v>0</v>
      </c>
      <c r="U56" s="30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30">
        <v>1</v>
      </c>
      <c r="AI56" s="30">
        <v>0</v>
      </c>
      <c r="AJ56" s="30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5">
        <f t="shared" si="22"/>
        <v>1</v>
      </c>
      <c r="GR56" s="35">
        <f t="shared" si="23"/>
        <v>0</v>
      </c>
      <c r="GS56" s="35">
        <f t="shared" si="24"/>
        <v>1</v>
      </c>
    </row>
    <row r="57" spans="1:201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30">
        <v>0</v>
      </c>
      <c r="T57" s="30">
        <v>0</v>
      </c>
      <c r="U57" s="30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30">
        <v>0</v>
      </c>
      <c r="AI57" s="30">
        <v>0</v>
      </c>
      <c r="AJ57" s="30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5">
        <f t="shared" si="22"/>
        <v>0</v>
      </c>
      <c r="GR57" s="35">
        <f t="shared" si="23"/>
        <v>0</v>
      </c>
      <c r="GS57" s="35">
        <f t="shared" si="24"/>
        <v>0</v>
      </c>
    </row>
    <row r="58" spans="1:201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30">
        <v>0</v>
      </c>
      <c r="T58" s="30">
        <v>0</v>
      </c>
      <c r="U58" s="30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30"/>
      <c r="AI58" s="30">
        <v>0</v>
      </c>
      <c r="AJ58" s="30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5">
        <f t="shared" si="22"/>
        <v>0</v>
      </c>
      <c r="GR58" s="35">
        <f t="shared" si="23"/>
        <v>0</v>
      </c>
      <c r="GS58" s="35">
        <f t="shared" si="24"/>
        <v>0</v>
      </c>
    </row>
    <row r="59" spans="1:201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30">
        <v>0</v>
      </c>
      <c r="T59" s="30">
        <v>0</v>
      </c>
      <c r="U59" s="30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30">
        <v>0</v>
      </c>
      <c r="AI59" s="30">
        <v>0</v>
      </c>
      <c r="AJ59" s="30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5">
        <f t="shared" si="22"/>
        <v>0</v>
      </c>
      <c r="GR59" s="35">
        <f t="shared" si="23"/>
        <v>0</v>
      </c>
      <c r="GS59" s="35">
        <f t="shared" si="24"/>
        <v>0</v>
      </c>
    </row>
    <row r="60" spans="1:201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30">
        <v>0</v>
      </c>
      <c r="T60" s="30">
        <v>0</v>
      </c>
      <c r="U60" s="30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30">
        <v>0</v>
      </c>
      <c r="AI60" s="30">
        <v>0</v>
      </c>
      <c r="AJ60" s="30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5">
        <f t="shared" si="22"/>
        <v>0</v>
      </c>
      <c r="GR60" s="35">
        <f t="shared" si="23"/>
        <v>0</v>
      </c>
      <c r="GS60" s="35">
        <f t="shared" si="24"/>
        <v>0</v>
      </c>
    </row>
    <row r="61" spans="1:201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121</v>
      </c>
      <c r="M61" s="17" t="s">
        <v>121</v>
      </c>
      <c r="N61" s="17">
        <f t="shared" si="1"/>
        <v>0</v>
      </c>
      <c r="O61" s="4">
        <f t="shared" si="2"/>
        <v>0</v>
      </c>
      <c r="P61" s="8"/>
      <c r="Q61" s="6"/>
      <c r="R61" s="7"/>
      <c r="S61" s="30">
        <v>0</v>
      </c>
      <c r="T61" s="30">
        <v>0</v>
      </c>
      <c r="U61" s="30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30"/>
      <c r="AI61" s="30">
        <v>0</v>
      </c>
      <c r="AJ61" s="30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5">
        <f t="shared" si="22"/>
        <v>0</v>
      </c>
      <c r="GR61" s="35">
        <f t="shared" si="23"/>
        <v>0</v>
      </c>
      <c r="GS61" s="35">
        <f t="shared" si="24"/>
        <v>0</v>
      </c>
    </row>
    <row r="62" spans="1:201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121</v>
      </c>
      <c r="M62" s="17" t="s">
        <v>121</v>
      </c>
      <c r="N62" s="17">
        <f t="shared" si="1"/>
        <v>0</v>
      </c>
      <c r="O62" s="4">
        <f t="shared" si="2"/>
        <v>0</v>
      </c>
      <c r="P62" s="8"/>
      <c r="Q62" s="6"/>
      <c r="R62" s="7"/>
      <c r="S62" s="30">
        <v>0</v>
      </c>
      <c r="T62" s="30">
        <v>0</v>
      </c>
      <c r="U62" s="30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123</v>
      </c>
      <c r="AG62" s="7">
        <v>0.93721434545454552</v>
      </c>
      <c r="AH62" s="30">
        <v>0</v>
      </c>
      <c r="AI62" s="30">
        <v>0</v>
      </c>
      <c r="AJ62" s="30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5">
        <f t="shared" si="22"/>
        <v>1</v>
      </c>
      <c r="GR62" s="35">
        <f t="shared" si="23"/>
        <v>0</v>
      </c>
      <c r="GS62" s="35">
        <f t="shared" si="24"/>
        <v>1</v>
      </c>
    </row>
    <row r="63" spans="1:201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G63" s="18"/>
      <c r="H63" s="8"/>
      <c r="I63" s="8"/>
      <c r="J63" s="6">
        <v>0</v>
      </c>
      <c r="K63" s="8"/>
      <c r="L63" s="3" t="s">
        <v>121</v>
      </c>
      <c r="M63" s="17" t="s">
        <v>121</v>
      </c>
      <c r="N63" s="17">
        <f t="shared" si="1"/>
        <v>0</v>
      </c>
      <c r="O63" s="4">
        <f t="shared" si="2"/>
        <v>0</v>
      </c>
      <c r="P63" s="8"/>
      <c r="Q63" s="6"/>
      <c r="R63" s="7"/>
      <c r="S63" s="30">
        <v>0</v>
      </c>
      <c r="T63" s="30">
        <v>0</v>
      </c>
      <c r="U63" s="30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123</v>
      </c>
      <c r="AF63">
        <v>2.12</v>
      </c>
      <c r="AG63" s="7">
        <v>0.7579338902863223</v>
      </c>
      <c r="AH63" s="30">
        <v>0</v>
      </c>
      <c r="AI63" s="30">
        <v>0</v>
      </c>
      <c r="AJ63" s="30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5">
        <f t="shared" si="22"/>
        <v>0</v>
      </c>
      <c r="GR63" s="35">
        <f t="shared" si="23"/>
        <v>0</v>
      </c>
      <c r="GS63" s="35">
        <f t="shared" si="24"/>
        <v>0</v>
      </c>
    </row>
    <row r="64" spans="1:201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G64" s="18"/>
      <c r="J64" s="29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30">
        <v>0</v>
      </c>
      <c r="T64" s="30">
        <v>0</v>
      </c>
      <c r="U64" s="30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123</v>
      </c>
      <c r="AG64" s="7">
        <v>0</v>
      </c>
      <c r="AH64" s="30">
        <v>0</v>
      </c>
      <c r="AI64" s="30">
        <v>0</v>
      </c>
      <c r="AJ64" s="30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5">
        <f t="shared" si="22"/>
        <v>0</v>
      </c>
      <c r="GR64" s="35">
        <f t="shared" si="23"/>
        <v>0</v>
      </c>
      <c r="GS64" s="35">
        <f t="shared" si="24"/>
        <v>0</v>
      </c>
    </row>
    <row r="65" spans="9:34" x14ac:dyDescent="0.35">
      <c r="AH65" s="30"/>
    </row>
    <row r="66" spans="9:34" x14ac:dyDescent="0.35">
      <c r="I66" s="18"/>
      <c r="J66" s="18"/>
      <c r="K66" s="33"/>
      <c r="U66" s="18"/>
    </row>
  </sheetData>
  <mergeCells count="13">
    <mergeCell ref="H1:U1"/>
    <mergeCell ref="W1:AJ1"/>
    <mergeCell ref="AL1:AY1"/>
    <mergeCell ref="BA1:BN1"/>
    <mergeCell ref="BP1:CC1"/>
    <mergeCell ref="FB1:FO1"/>
    <mergeCell ref="FQ1:GD1"/>
    <mergeCell ref="GF1:GS1"/>
    <mergeCell ref="CE1:CR1"/>
    <mergeCell ref="CT1:DG1"/>
    <mergeCell ref="DI1:DV1"/>
    <mergeCell ref="DX1:EK1"/>
    <mergeCell ref="EM1:EZ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tabSelected="1" workbookViewId="0"/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3" t="s">
        <v>137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U1" s="43" t="s">
        <v>156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spans="1:32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0" t="s">
        <v>112</v>
      </c>
      <c r="I2" s="10" t="s">
        <v>114</v>
      </c>
      <c r="J2" s="10" t="s">
        <v>115</v>
      </c>
      <c r="K2" s="10" t="s">
        <v>128</v>
      </c>
      <c r="L2" s="10" t="s">
        <v>129</v>
      </c>
      <c r="M2" s="10" t="s">
        <v>130</v>
      </c>
      <c r="N2" s="10" t="s">
        <v>131</v>
      </c>
      <c r="O2" s="10" t="s">
        <v>132</v>
      </c>
      <c r="P2" s="10" t="s">
        <v>133</v>
      </c>
      <c r="Q2" s="10" t="s">
        <v>134</v>
      </c>
      <c r="R2" s="10" t="s">
        <v>135</v>
      </c>
      <c r="S2" s="10" t="s">
        <v>136</v>
      </c>
      <c r="U2" s="10" t="s">
        <v>112</v>
      </c>
      <c r="V2" s="10" t="s">
        <v>114</v>
      </c>
      <c r="W2" s="10" t="s">
        <v>115</v>
      </c>
      <c r="X2" s="10" t="s">
        <v>128</v>
      </c>
      <c r="Y2" s="10" t="s">
        <v>129</v>
      </c>
      <c r="Z2" s="10" t="s">
        <v>130</v>
      </c>
      <c r="AA2" s="10" t="s">
        <v>131</v>
      </c>
      <c r="AB2" s="10" t="s">
        <v>132</v>
      </c>
      <c r="AC2" s="10" t="s">
        <v>133</v>
      </c>
      <c r="AD2" s="10" t="s">
        <v>134</v>
      </c>
      <c r="AE2" s="10" t="s">
        <v>135</v>
      </c>
      <c r="AF2" s="10" t="s">
        <v>136</v>
      </c>
    </row>
    <row r="3" spans="1:32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H3">
        <v>209.03094999999999</v>
      </c>
      <c r="I3">
        <v>5.7781500000000001</v>
      </c>
      <c r="J3">
        <v>157.25724</v>
      </c>
      <c r="U3" s="34">
        <v>218.47649999999999</v>
      </c>
      <c r="V3" s="34">
        <v>12.097200000000001</v>
      </c>
      <c r="W3" s="34">
        <v>157.25724</v>
      </c>
    </row>
    <row r="4" spans="1:32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H4">
        <v>0</v>
      </c>
      <c r="I4">
        <v>0</v>
      </c>
      <c r="J4">
        <v>0</v>
      </c>
      <c r="U4" s="34">
        <v>0</v>
      </c>
      <c r="V4" s="34">
        <v>0</v>
      </c>
      <c r="W4" s="34">
        <v>0</v>
      </c>
    </row>
    <row r="5" spans="1:32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H5">
        <v>4.4249999999999998</v>
      </c>
      <c r="I5">
        <v>5.31</v>
      </c>
      <c r="J5">
        <v>1.67265</v>
      </c>
      <c r="U5" s="34">
        <v>11.22977</v>
      </c>
      <c r="V5" s="34">
        <v>15.84271</v>
      </c>
      <c r="W5" s="34">
        <v>0</v>
      </c>
    </row>
    <row r="6" spans="1:32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H6">
        <v>33.97439</v>
      </c>
      <c r="I6">
        <v>6.9029999999999996</v>
      </c>
      <c r="J6">
        <v>6.9029999999999996</v>
      </c>
      <c r="U6" s="34">
        <v>27.071390000000001</v>
      </c>
      <c r="V6" s="34">
        <v>0</v>
      </c>
      <c r="W6" s="34">
        <v>0</v>
      </c>
    </row>
    <row r="7" spans="1:32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H7">
        <v>60.377890000000001</v>
      </c>
      <c r="I7">
        <v>45.98189</v>
      </c>
      <c r="J7">
        <v>43.90775</v>
      </c>
      <c r="U7" s="34">
        <v>8.1212</v>
      </c>
      <c r="V7" s="34">
        <v>99.280510000000007</v>
      </c>
      <c r="W7" s="34">
        <v>43.90775</v>
      </c>
    </row>
    <row r="8" spans="1:32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H8">
        <v>0</v>
      </c>
      <c r="I8">
        <v>0</v>
      </c>
      <c r="J8">
        <v>0</v>
      </c>
      <c r="U8" s="34">
        <v>0</v>
      </c>
      <c r="V8" s="34">
        <v>0</v>
      </c>
      <c r="W8" s="34">
        <v>0</v>
      </c>
    </row>
    <row r="9" spans="1:32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H9">
        <v>25.538</v>
      </c>
      <c r="I9">
        <v>24.357500000000002</v>
      </c>
      <c r="J9">
        <v>40.2331</v>
      </c>
      <c r="U9" s="34">
        <v>2.9150999999999998</v>
      </c>
      <c r="V9" s="34">
        <v>7.7396000000000003</v>
      </c>
      <c r="W9" s="34">
        <v>40.2331</v>
      </c>
    </row>
    <row r="10" spans="1:32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H10">
        <v>14.62623</v>
      </c>
      <c r="I10">
        <v>13.02169</v>
      </c>
      <c r="J10">
        <v>16.294049999999999</v>
      </c>
      <c r="U10" s="34">
        <v>8.0480699999999992</v>
      </c>
      <c r="V10" s="34">
        <v>6.2655000000000003</v>
      </c>
      <c r="W10" s="34">
        <v>16.294049999999999</v>
      </c>
    </row>
    <row r="11" spans="1:32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H11">
        <v>13.60774</v>
      </c>
      <c r="I11">
        <v>21.481169999999999</v>
      </c>
      <c r="J11">
        <v>23.00074</v>
      </c>
      <c r="U11" s="34">
        <v>25.18271</v>
      </c>
      <c r="V11" s="34">
        <v>4.6232899999999999</v>
      </c>
      <c r="W11" s="34">
        <v>23.00074</v>
      </c>
    </row>
    <row r="12" spans="1:32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H12">
        <v>301.86070000000001</v>
      </c>
      <c r="I12">
        <v>252.37766999999999</v>
      </c>
      <c r="J12">
        <v>266.71429000000001</v>
      </c>
      <c r="U12" s="34">
        <v>302.00304999999997</v>
      </c>
      <c r="V12" s="34">
        <v>260.64585</v>
      </c>
      <c r="W12" s="34">
        <v>266.71429000000001</v>
      </c>
    </row>
    <row r="13" spans="1:32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H13">
        <v>0</v>
      </c>
      <c r="I13">
        <v>0</v>
      </c>
      <c r="J13">
        <v>0</v>
      </c>
      <c r="U13" s="34">
        <v>3.835</v>
      </c>
      <c r="V13" s="34">
        <v>4.9482799999999996</v>
      </c>
      <c r="W13" s="34">
        <v>0</v>
      </c>
    </row>
    <row r="14" spans="1:32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H14">
        <v>8.0977499999999996</v>
      </c>
      <c r="I14">
        <v>8.0977499999999996</v>
      </c>
      <c r="J14">
        <v>0</v>
      </c>
      <c r="U14" s="34">
        <v>8.6328800000000001</v>
      </c>
      <c r="V14" s="34">
        <v>0</v>
      </c>
      <c r="W14" s="34">
        <v>8.0977499999999996</v>
      </c>
    </row>
    <row r="15" spans="1:32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H15">
        <v>0</v>
      </c>
      <c r="I15">
        <v>0</v>
      </c>
      <c r="J15">
        <v>0</v>
      </c>
      <c r="U15" s="34">
        <v>0</v>
      </c>
      <c r="V15" s="34">
        <v>0</v>
      </c>
      <c r="W15" s="34">
        <v>0</v>
      </c>
    </row>
    <row r="16" spans="1:32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H16">
        <v>0.12920000000000001</v>
      </c>
      <c r="I16">
        <v>0.12920000000000001</v>
      </c>
      <c r="J16">
        <v>0.25840000000000002</v>
      </c>
      <c r="U16" s="34">
        <v>0</v>
      </c>
      <c r="V16" s="34">
        <v>10.698589999999999</v>
      </c>
      <c r="W16" s="34">
        <v>0.25</v>
      </c>
    </row>
    <row r="17" spans="1:23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H17">
        <v>192.66171</v>
      </c>
      <c r="I17">
        <v>184.90898000000001</v>
      </c>
      <c r="J17">
        <v>278.08467000000002</v>
      </c>
      <c r="U17" s="34">
        <v>145.7782</v>
      </c>
      <c r="V17" s="34">
        <v>54.552979999999998</v>
      </c>
      <c r="W17" s="34">
        <v>258.08467000000002</v>
      </c>
    </row>
    <row r="18" spans="1:23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H18">
        <v>0</v>
      </c>
      <c r="I18">
        <v>0</v>
      </c>
      <c r="J18">
        <v>0</v>
      </c>
      <c r="U18" s="34">
        <v>0</v>
      </c>
      <c r="V18" s="34">
        <v>0</v>
      </c>
      <c r="W18" s="34">
        <v>0</v>
      </c>
    </row>
    <row r="19" spans="1:23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H19">
        <v>5.0739999999999998</v>
      </c>
      <c r="I19">
        <v>12.685</v>
      </c>
      <c r="J19">
        <v>11.90325</v>
      </c>
      <c r="U19" s="34">
        <v>18.349</v>
      </c>
      <c r="V19" s="34">
        <v>41.954999999999998</v>
      </c>
      <c r="W19" s="34">
        <v>11.90325</v>
      </c>
    </row>
    <row r="20" spans="1:23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H20">
        <v>33.001609999999999</v>
      </c>
      <c r="I20">
        <v>33.001609999999999</v>
      </c>
      <c r="J20">
        <v>20.862459999999999</v>
      </c>
      <c r="U20" s="34">
        <v>0</v>
      </c>
      <c r="V20" s="34">
        <v>33.001609999999999</v>
      </c>
      <c r="W20" s="34">
        <v>20.862459999999999</v>
      </c>
    </row>
    <row r="21" spans="1:23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H21">
        <v>69.169240000000002</v>
      </c>
      <c r="I21">
        <v>69.231210000000004</v>
      </c>
      <c r="J21">
        <v>125.17650999999999</v>
      </c>
      <c r="U21" s="34">
        <v>0</v>
      </c>
      <c r="V21" s="34">
        <v>237.30978999999999</v>
      </c>
      <c r="W21" s="34">
        <v>125.17650999999999</v>
      </c>
    </row>
    <row r="22" spans="1:23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H22">
        <v>0</v>
      </c>
      <c r="I22">
        <v>0</v>
      </c>
      <c r="J22">
        <v>0</v>
      </c>
      <c r="U22" s="34">
        <v>0</v>
      </c>
      <c r="V22" s="34">
        <v>0</v>
      </c>
      <c r="W22" s="34">
        <v>0</v>
      </c>
    </row>
    <row r="23" spans="1:23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H23">
        <v>29.854939999999999</v>
      </c>
      <c r="I23">
        <v>31.197189999999999</v>
      </c>
      <c r="J23">
        <v>31.197189999999999</v>
      </c>
      <c r="U23" s="34">
        <v>0</v>
      </c>
      <c r="V23" s="34">
        <v>0</v>
      </c>
      <c r="W23" s="34">
        <v>0</v>
      </c>
    </row>
    <row r="24" spans="1:23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H24">
        <v>102.73174</v>
      </c>
      <c r="I24">
        <v>107.94423</v>
      </c>
      <c r="J24">
        <v>109.82378</v>
      </c>
      <c r="U24" s="34">
        <v>0.31859999999999999</v>
      </c>
      <c r="V24" s="34">
        <v>6.2356999999999996E-2</v>
      </c>
      <c r="W24" s="34">
        <v>109.82378</v>
      </c>
    </row>
    <row r="25" spans="1:23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H25">
        <v>19.528680000000001</v>
      </c>
      <c r="I25">
        <v>26.641570000000002</v>
      </c>
      <c r="J25">
        <v>46.514189999999999</v>
      </c>
      <c r="U25" s="34">
        <v>0</v>
      </c>
      <c r="V25" s="34">
        <v>0</v>
      </c>
      <c r="W25" s="34">
        <v>46.514189999999999</v>
      </c>
    </row>
    <row r="26" spans="1:23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H26">
        <v>0</v>
      </c>
      <c r="I26">
        <v>80.457930000000005</v>
      </c>
      <c r="J26">
        <v>80.457930000000005</v>
      </c>
      <c r="U26" s="34">
        <v>0</v>
      </c>
      <c r="V26" s="34">
        <v>0</v>
      </c>
      <c r="W26" s="34">
        <v>80.457930000000005</v>
      </c>
    </row>
    <row r="27" spans="1:23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H27">
        <v>0</v>
      </c>
      <c r="I27">
        <v>0</v>
      </c>
      <c r="J27">
        <v>0</v>
      </c>
      <c r="U27" s="34">
        <v>0</v>
      </c>
      <c r="V27" s="34">
        <v>0</v>
      </c>
      <c r="W27" s="34">
        <v>0</v>
      </c>
    </row>
    <row r="28" spans="1:23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H28">
        <v>49.079369999999997</v>
      </c>
      <c r="I28">
        <v>49.669370000000001</v>
      </c>
      <c r="J28">
        <v>1.76999</v>
      </c>
      <c r="U28" s="34">
        <v>19.857710000000001</v>
      </c>
      <c r="V28" s="34">
        <v>74.202240000000003</v>
      </c>
      <c r="W28" s="34">
        <v>1.76999</v>
      </c>
    </row>
    <row r="29" spans="1:23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H29">
        <v>63.031059999999997</v>
      </c>
      <c r="I29">
        <v>53.64696</v>
      </c>
      <c r="J29">
        <v>26.540970000000002</v>
      </c>
      <c r="U29" s="34">
        <v>5.1576300000000002</v>
      </c>
      <c r="V29" s="34">
        <v>27.28755</v>
      </c>
      <c r="W29" s="34">
        <v>26.540970000000002</v>
      </c>
    </row>
    <row r="30" spans="1:23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H30">
        <v>0</v>
      </c>
      <c r="I30">
        <v>0</v>
      </c>
      <c r="J30">
        <v>0</v>
      </c>
      <c r="U30" s="34">
        <v>0</v>
      </c>
      <c r="V30" s="34">
        <v>0</v>
      </c>
      <c r="W30" s="34">
        <v>0</v>
      </c>
    </row>
    <row r="31" spans="1:23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H31">
        <v>0</v>
      </c>
      <c r="I31">
        <v>0</v>
      </c>
      <c r="J31">
        <v>0</v>
      </c>
      <c r="U31" s="34">
        <v>79.234589999999997</v>
      </c>
      <c r="V31" s="34">
        <v>0</v>
      </c>
      <c r="W31" s="34">
        <v>0</v>
      </c>
    </row>
    <row r="32" spans="1:23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H32">
        <v>0</v>
      </c>
      <c r="I32">
        <v>34.723619999999997</v>
      </c>
      <c r="J32">
        <v>0</v>
      </c>
      <c r="U32" s="34">
        <v>22.46106</v>
      </c>
      <c r="V32" s="34">
        <v>34.723619999999997</v>
      </c>
      <c r="W32" s="34">
        <v>0</v>
      </c>
    </row>
    <row r="33" spans="1:23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H33">
        <v>4.1712100000000003</v>
      </c>
      <c r="I33">
        <v>4.1712100000000003</v>
      </c>
      <c r="J33">
        <v>4.1712100000000003</v>
      </c>
      <c r="U33" s="34">
        <v>0</v>
      </c>
      <c r="V33" s="34">
        <v>0</v>
      </c>
      <c r="W33" s="34">
        <v>4.1712100000000003</v>
      </c>
    </row>
    <row r="34" spans="1:23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H34">
        <v>0</v>
      </c>
      <c r="I34">
        <v>0.58031999999999995</v>
      </c>
      <c r="J34">
        <v>0</v>
      </c>
      <c r="U34" s="34">
        <v>3.8043200000000001</v>
      </c>
      <c r="V34" s="34">
        <v>4.0622400000000001</v>
      </c>
      <c r="W34" s="34">
        <v>0</v>
      </c>
    </row>
    <row r="35" spans="1:23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H35">
        <v>0</v>
      </c>
      <c r="I35">
        <v>3.4724499999999998</v>
      </c>
      <c r="J35">
        <v>13.613350000000001</v>
      </c>
      <c r="U35" s="34">
        <v>0</v>
      </c>
      <c r="V35" s="34">
        <v>0</v>
      </c>
      <c r="W35" s="34">
        <v>13.613350000000001</v>
      </c>
    </row>
    <row r="36" spans="1:23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H36">
        <v>0.22192000000000001</v>
      </c>
      <c r="I36">
        <v>3.1316000000000002</v>
      </c>
      <c r="J36">
        <v>11.86904</v>
      </c>
      <c r="U36" s="34">
        <v>7.3135000000000003</v>
      </c>
      <c r="V36" s="34">
        <v>0</v>
      </c>
      <c r="W36" s="34">
        <v>11.86904</v>
      </c>
    </row>
    <row r="37" spans="1:23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H37">
        <v>0</v>
      </c>
      <c r="I37">
        <v>0</v>
      </c>
      <c r="J37">
        <v>47.640430000000002</v>
      </c>
      <c r="U37" s="34">
        <v>38.47363</v>
      </c>
      <c r="V37" s="34">
        <v>0</v>
      </c>
      <c r="W37" s="34">
        <v>47.640430000000002</v>
      </c>
    </row>
    <row r="38" spans="1:23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H38">
        <v>0</v>
      </c>
      <c r="I38">
        <v>0</v>
      </c>
      <c r="J38">
        <v>0</v>
      </c>
      <c r="U38" s="34">
        <v>17.555409999999998</v>
      </c>
      <c r="V38" s="34">
        <v>14.72293</v>
      </c>
      <c r="W38" s="34">
        <v>0</v>
      </c>
    </row>
    <row r="39" spans="1:23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H39">
        <v>6.2717099999999997</v>
      </c>
      <c r="I39">
        <v>1.2401899999999999</v>
      </c>
      <c r="J39">
        <v>4.3217600000000003</v>
      </c>
      <c r="U39" s="34">
        <v>7.5477100000000004</v>
      </c>
      <c r="V39" s="34">
        <v>2.5171700000000001</v>
      </c>
      <c r="W39" s="34">
        <v>4.3217600000000003</v>
      </c>
    </row>
    <row r="40" spans="1:23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H40">
        <v>13.2814</v>
      </c>
      <c r="I40">
        <v>13.824400000000001</v>
      </c>
      <c r="J40">
        <v>10.346030000000001</v>
      </c>
      <c r="U40" s="34">
        <v>11.67193</v>
      </c>
      <c r="V40" s="34">
        <v>7.5303000000000004</v>
      </c>
      <c r="W40" s="34">
        <v>10.346030000000001</v>
      </c>
    </row>
    <row r="41" spans="1:23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H41">
        <v>0</v>
      </c>
      <c r="I41">
        <v>0</v>
      </c>
      <c r="J41">
        <v>0</v>
      </c>
      <c r="U41" s="34">
        <v>0</v>
      </c>
      <c r="V41" s="34">
        <v>0</v>
      </c>
      <c r="W41" s="34">
        <v>0</v>
      </c>
    </row>
    <row r="42" spans="1:23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H42">
        <v>0</v>
      </c>
      <c r="I42">
        <v>0</v>
      </c>
      <c r="J42">
        <v>13.747</v>
      </c>
      <c r="U42" s="34">
        <v>0</v>
      </c>
      <c r="V42" s="34">
        <v>10.215199999999999</v>
      </c>
      <c r="W42" s="34">
        <v>13.747</v>
      </c>
    </row>
    <row r="43" spans="1:23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H43">
        <v>0</v>
      </c>
      <c r="I43">
        <v>0</v>
      </c>
      <c r="J43">
        <v>1.4750000000000001</v>
      </c>
      <c r="U43" s="34">
        <v>0</v>
      </c>
      <c r="V43" s="34">
        <v>0</v>
      </c>
      <c r="W43" s="34">
        <v>1.47</v>
      </c>
    </row>
    <row r="44" spans="1:23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H44">
        <v>8.5328800000000005</v>
      </c>
      <c r="I44">
        <v>8.5328800000000005</v>
      </c>
      <c r="J44">
        <v>8.3970199999999995</v>
      </c>
      <c r="U44" s="34">
        <v>0</v>
      </c>
      <c r="V44" s="34">
        <v>0.13586000000000001</v>
      </c>
      <c r="W44" s="34">
        <v>0</v>
      </c>
    </row>
    <row r="45" spans="1:23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H45">
        <v>0.90624000000000005</v>
      </c>
      <c r="I45">
        <v>0</v>
      </c>
      <c r="J45">
        <v>8.4037199999999999</v>
      </c>
      <c r="U45" s="34">
        <v>0.90624000000000005</v>
      </c>
      <c r="V45" s="34">
        <v>0</v>
      </c>
      <c r="W45" s="34">
        <v>8.4037199999999999</v>
      </c>
    </row>
    <row r="46" spans="1:23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H46">
        <v>0</v>
      </c>
      <c r="I46">
        <v>0</v>
      </c>
      <c r="J46">
        <v>0</v>
      </c>
      <c r="U46" s="34">
        <v>22.59477</v>
      </c>
      <c r="V46" s="34">
        <v>0</v>
      </c>
      <c r="W46" s="34">
        <v>0</v>
      </c>
    </row>
    <row r="47" spans="1:23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H47">
        <v>0</v>
      </c>
      <c r="I47">
        <v>0</v>
      </c>
      <c r="J47">
        <v>0</v>
      </c>
      <c r="U47" s="34">
        <v>3.0567199999999999</v>
      </c>
      <c r="V47" s="34">
        <v>7.8361999999999998</v>
      </c>
      <c r="W47" s="34">
        <v>0</v>
      </c>
    </row>
    <row r="48" spans="1:23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H48">
        <v>48.80097</v>
      </c>
      <c r="I48">
        <v>12.18061</v>
      </c>
      <c r="J48">
        <v>31.74935</v>
      </c>
      <c r="U48" s="34">
        <v>107.89127999999999</v>
      </c>
      <c r="V48" s="34">
        <v>58.929850000000002</v>
      </c>
      <c r="W48" s="34">
        <v>31.74935</v>
      </c>
    </row>
    <row r="49" spans="1:23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H49">
        <v>2.6549999999999998</v>
      </c>
      <c r="I49">
        <v>19.31307</v>
      </c>
      <c r="J49">
        <v>19.31307</v>
      </c>
      <c r="U49" s="34">
        <v>0</v>
      </c>
      <c r="V49" s="34">
        <v>0</v>
      </c>
      <c r="W49" s="34">
        <v>19.31307</v>
      </c>
    </row>
    <row r="50" spans="1:23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H50">
        <v>7.4033199999999999</v>
      </c>
      <c r="I50">
        <v>10.589320000000001</v>
      </c>
      <c r="J50">
        <v>0</v>
      </c>
      <c r="U50" s="34">
        <v>0</v>
      </c>
      <c r="V50" s="34">
        <v>10.589320000000001</v>
      </c>
      <c r="W50" s="34">
        <v>0</v>
      </c>
    </row>
    <row r="51" spans="1:23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H51">
        <v>0</v>
      </c>
      <c r="I51">
        <v>7.2256499999999999</v>
      </c>
      <c r="J51">
        <v>7.2256499999999999</v>
      </c>
      <c r="U51" s="34">
        <v>0</v>
      </c>
      <c r="V51" s="34">
        <v>0</v>
      </c>
      <c r="W51" s="34">
        <v>7.2256499999999999</v>
      </c>
    </row>
    <row r="52" spans="1:23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H52">
        <v>0</v>
      </c>
      <c r="I52">
        <v>0</v>
      </c>
      <c r="J52">
        <v>0</v>
      </c>
      <c r="U52" s="34">
        <v>0</v>
      </c>
      <c r="V52" s="34">
        <v>0</v>
      </c>
      <c r="W52" s="34">
        <v>0</v>
      </c>
    </row>
    <row r="53" spans="1:23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H53">
        <v>0</v>
      </c>
      <c r="I53">
        <v>0</v>
      </c>
      <c r="J53">
        <v>0</v>
      </c>
      <c r="U53" s="34">
        <v>0</v>
      </c>
      <c r="V53" s="34">
        <v>0</v>
      </c>
      <c r="W53" s="34">
        <v>0</v>
      </c>
    </row>
    <row r="54" spans="1:23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H54">
        <v>0</v>
      </c>
      <c r="I54">
        <v>0</v>
      </c>
      <c r="J54">
        <v>0</v>
      </c>
      <c r="U54" s="34">
        <v>0</v>
      </c>
      <c r="V54" s="34">
        <v>0</v>
      </c>
      <c r="W54" s="34">
        <v>0</v>
      </c>
    </row>
    <row r="55" spans="1:23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H55">
        <v>0</v>
      </c>
      <c r="I55">
        <v>0</v>
      </c>
      <c r="J55">
        <v>10.733280000000001</v>
      </c>
      <c r="U55" s="34">
        <v>0</v>
      </c>
      <c r="V55" s="34">
        <v>0</v>
      </c>
      <c r="W55" s="34">
        <v>10.733280000000001</v>
      </c>
    </row>
    <row r="56" spans="1:23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H56">
        <v>0</v>
      </c>
      <c r="I56">
        <v>0</v>
      </c>
      <c r="J56">
        <v>0</v>
      </c>
      <c r="U56" s="34">
        <v>0</v>
      </c>
      <c r="V56" s="34">
        <v>0</v>
      </c>
      <c r="W56" s="34">
        <v>0</v>
      </c>
    </row>
    <row r="57" spans="1:23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H57">
        <v>1.75278</v>
      </c>
      <c r="I57">
        <v>3.9618099999999998</v>
      </c>
      <c r="J57">
        <v>6.6078999999999999</v>
      </c>
      <c r="U57" s="34">
        <v>0</v>
      </c>
      <c r="V57" s="34">
        <v>0</v>
      </c>
      <c r="W57" s="34">
        <v>6.5937000000000001</v>
      </c>
    </row>
    <row r="58" spans="1:23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H58">
        <v>0</v>
      </c>
      <c r="I58">
        <v>0</v>
      </c>
      <c r="J58">
        <v>0</v>
      </c>
      <c r="U58" s="34">
        <v>0</v>
      </c>
      <c r="V58" s="34">
        <v>0</v>
      </c>
      <c r="W58" s="34">
        <v>0</v>
      </c>
    </row>
    <row r="59" spans="1:23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H59">
        <v>0</v>
      </c>
      <c r="I59">
        <v>0</v>
      </c>
      <c r="J59">
        <v>0</v>
      </c>
      <c r="U59" s="34">
        <v>0</v>
      </c>
      <c r="V59" s="34">
        <v>0</v>
      </c>
      <c r="W59" s="34">
        <v>0</v>
      </c>
    </row>
    <row r="60" spans="1:23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H60">
        <v>2.29799</v>
      </c>
      <c r="I60">
        <v>0</v>
      </c>
      <c r="J60">
        <v>0</v>
      </c>
      <c r="U60" s="34">
        <v>2.3548499999999999</v>
      </c>
      <c r="V60" s="34">
        <v>0</v>
      </c>
      <c r="W60" s="34">
        <v>0</v>
      </c>
    </row>
    <row r="61" spans="1:23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H61">
        <v>0</v>
      </c>
      <c r="I61">
        <v>0</v>
      </c>
      <c r="J61">
        <v>0</v>
      </c>
      <c r="U61" s="34">
        <v>0</v>
      </c>
      <c r="V61" s="34">
        <v>0</v>
      </c>
      <c r="W61" s="34">
        <v>0</v>
      </c>
    </row>
    <row r="62" spans="1:23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H62">
        <v>0</v>
      </c>
      <c r="I62">
        <v>0</v>
      </c>
      <c r="J62">
        <v>0</v>
      </c>
      <c r="U62" s="34">
        <v>0</v>
      </c>
      <c r="V62" s="34">
        <v>0</v>
      </c>
      <c r="W62" s="34">
        <v>0</v>
      </c>
    </row>
    <row r="63" spans="1:23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H63">
        <v>0</v>
      </c>
      <c r="I63">
        <v>0</v>
      </c>
      <c r="J63">
        <v>1.2507999999999999</v>
      </c>
      <c r="U63" s="34">
        <v>0</v>
      </c>
      <c r="V63" s="34">
        <v>0</v>
      </c>
      <c r="W63" s="34">
        <v>1.2507999999999999</v>
      </c>
    </row>
    <row r="64" spans="1:23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H64">
        <v>5.3819499999999998</v>
      </c>
      <c r="I64">
        <v>5.3819499999999998</v>
      </c>
      <c r="J64">
        <v>5.3819499999999998</v>
      </c>
      <c r="U64" s="34">
        <v>0</v>
      </c>
      <c r="V64" s="34">
        <v>0</v>
      </c>
      <c r="W64" s="34">
        <v>5.3819499999999998</v>
      </c>
    </row>
    <row r="65" spans="1:23" x14ac:dyDescent="0.35">
      <c r="A65" s="16" t="s">
        <v>138</v>
      </c>
      <c r="B65" s="3" t="s">
        <v>160</v>
      </c>
      <c r="C65" s="2" t="s">
        <v>142</v>
      </c>
      <c r="D65" s="2" t="s">
        <v>83</v>
      </c>
      <c r="E65" s="23" t="s">
        <v>107</v>
      </c>
      <c r="F65" s="16" t="s">
        <v>2</v>
      </c>
      <c r="H65">
        <v>0.61626000000000003</v>
      </c>
      <c r="I65">
        <v>0.61626000000000003</v>
      </c>
      <c r="J65">
        <v>0.61626000000000003</v>
      </c>
      <c r="U65" s="34">
        <v>0</v>
      </c>
      <c r="V65" s="34">
        <v>0</v>
      </c>
      <c r="W65" s="34">
        <v>0.61626000000000003</v>
      </c>
    </row>
    <row r="66" spans="1:23" x14ac:dyDescent="0.35">
      <c r="A66" s="16" t="s">
        <v>139</v>
      </c>
      <c r="B66" s="3" t="s">
        <v>160</v>
      </c>
      <c r="C66" s="2" t="s">
        <v>146</v>
      </c>
      <c r="D66" s="2" t="s">
        <v>150</v>
      </c>
      <c r="E66" s="23" t="s">
        <v>107</v>
      </c>
      <c r="F66" s="16" t="s">
        <v>70</v>
      </c>
      <c r="H66">
        <v>12.460800000000001</v>
      </c>
      <c r="I66">
        <v>6.2304000000000004</v>
      </c>
      <c r="J66">
        <v>6.2304000000000004</v>
      </c>
      <c r="U66" s="34">
        <v>0</v>
      </c>
      <c r="V66" s="34">
        <v>0</v>
      </c>
      <c r="W66" s="34">
        <v>6.2304000000000004</v>
      </c>
    </row>
    <row r="67" spans="1:23" x14ac:dyDescent="0.35">
      <c r="A67" s="16" t="s">
        <v>140</v>
      </c>
      <c r="B67" s="3" t="s">
        <v>160</v>
      </c>
      <c r="C67" s="2" t="s">
        <v>142</v>
      </c>
      <c r="D67" s="2" t="s">
        <v>83</v>
      </c>
      <c r="E67" s="23" t="s">
        <v>107</v>
      </c>
      <c r="F67" s="16" t="s">
        <v>2</v>
      </c>
      <c r="H67">
        <v>2.5488</v>
      </c>
      <c r="I67">
        <v>2.5488</v>
      </c>
      <c r="J67">
        <v>2.5488</v>
      </c>
      <c r="U67" s="34">
        <v>0</v>
      </c>
      <c r="V67" s="34">
        <v>0</v>
      </c>
      <c r="W67" s="34">
        <v>2.5488</v>
      </c>
    </row>
    <row r="68" spans="1:23" x14ac:dyDescent="0.35">
      <c r="A68" s="16" t="s">
        <v>141</v>
      </c>
      <c r="B68" s="3" t="s">
        <v>160</v>
      </c>
      <c r="C68" s="2" t="s">
        <v>146</v>
      </c>
      <c r="D68" s="2" t="s">
        <v>146</v>
      </c>
      <c r="E68" s="23" t="s">
        <v>107</v>
      </c>
      <c r="F68" s="16" t="s">
        <v>70</v>
      </c>
      <c r="H68">
        <v>1.6637999999999999</v>
      </c>
      <c r="I68">
        <v>0</v>
      </c>
      <c r="J68">
        <v>0</v>
      </c>
      <c r="U68" s="34">
        <v>0</v>
      </c>
      <c r="V68" s="34">
        <v>0</v>
      </c>
      <c r="W68" s="34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2026-07-02T15:41:29Z</dcterms:modified>
</cp:coreProperties>
</file>