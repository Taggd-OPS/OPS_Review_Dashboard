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baljeet_singh_taggd_in/Documents/Desktop/Clude Data/"/>
    </mc:Choice>
  </mc:AlternateContent>
  <xr:revisionPtr revIDLastSave="3452" documentId="8_{231760F8-40C3-4E52-9138-CD9DD8E2170C}" xr6:coauthVersionLast="47" xr6:coauthVersionMax="47" xr10:uidLastSave="{E6FADBC2-97D0-4A07-9280-7A6786C2EB84}"/>
  <bookViews>
    <workbookView xWindow="-110" yWindow="-110" windowWidth="19420" windowHeight="11500" xr2:uid="{F2C8E0B5-D69E-42FC-A0A4-20379F29D696}"/>
  </bookViews>
  <sheets>
    <sheet name="Sheet1" sheetId="1" r:id="rId1"/>
    <sheet name="Actual" sheetId="2" r:id="rId2"/>
    <sheet name="Collection Detail" sheetId="3" r:id="rId3"/>
  </sheets>
  <definedNames>
    <definedName name="_xlnm._FilterDatabase" localSheetId="1" hidden="1">Actual!$A$2:$E$64</definedName>
    <definedName name="_xlnm._FilterDatabase" localSheetId="2" hidden="1">'Collection Detail'!$A$2:$AE$68</definedName>
    <definedName name="_xlnm._FilterDatabase" localSheetId="0" hidden="1">Sheet1!$A$2:$CO$63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L4" i="1" l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3" i="1"/>
  <c r="AX55" i="1"/>
  <c r="V55" i="1"/>
  <c r="H55" i="1"/>
  <c r="H62" i="1"/>
  <c r="H19" i="1"/>
  <c r="V38" i="1"/>
  <c r="H38" i="1"/>
  <c r="H24" i="1"/>
  <c r="H13" i="1"/>
  <c r="GE4" i="2"/>
  <c r="GF4" i="2"/>
  <c r="GG4" i="2"/>
  <c r="GH4" i="2"/>
  <c r="GI4" i="2"/>
  <c r="GJ4" i="2"/>
  <c r="GM4" i="2"/>
  <c r="GN4" i="2"/>
  <c r="GO4" i="2"/>
  <c r="GP4" i="2"/>
  <c r="GQ4" i="2"/>
  <c r="GR4" i="2"/>
  <c r="GE5" i="2"/>
  <c r="GF5" i="2"/>
  <c r="GG5" i="2"/>
  <c r="GI5" i="2"/>
  <c r="GJ5" i="2"/>
  <c r="GM5" i="2"/>
  <c r="GN5" i="2"/>
  <c r="GO5" i="2"/>
  <c r="GP5" i="2"/>
  <c r="GQ5" i="2"/>
  <c r="GR5" i="2"/>
  <c r="GE6" i="2"/>
  <c r="GF6" i="2"/>
  <c r="GG6" i="2"/>
  <c r="GI6" i="2"/>
  <c r="GJ6" i="2"/>
  <c r="GM6" i="2"/>
  <c r="GN6" i="2"/>
  <c r="GO6" i="2"/>
  <c r="GP6" i="2"/>
  <c r="GQ6" i="2"/>
  <c r="GR6" i="2"/>
  <c r="GE7" i="2"/>
  <c r="GF7" i="2"/>
  <c r="GG7" i="2"/>
  <c r="GI7" i="2"/>
  <c r="GJ7" i="2"/>
  <c r="GM7" i="2"/>
  <c r="GN7" i="2"/>
  <c r="GO7" i="2"/>
  <c r="GP7" i="2"/>
  <c r="GQ7" i="2"/>
  <c r="GR7" i="2"/>
  <c r="GE8" i="2"/>
  <c r="GF8" i="2"/>
  <c r="GG8" i="2"/>
  <c r="GI8" i="2"/>
  <c r="GJ8" i="2"/>
  <c r="GM8" i="2"/>
  <c r="GN8" i="2"/>
  <c r="GO8" i="2"/>
  <c r="GP8" i="2"/>
  <c r="GQ8" i="2"/>
  <c r="GR8" i="2"/>
  <c r="GE9" i="2"/>
  <c r="GF9" i="2"/>
  <c r="GG9" i="2"/>
  <c r="GI9" i="2"/>
  <c r="GJ9" i="2"/>
  <c r="GK9" i="2"/>
  <c r="GL9" i="2"/>
  <c r="GM9" i="2"/>
  <c r="GN9" i="2"/>
  <c r="GO9" i="2"/>
  <c r="GP9" i="2"/>
  <c r="GQ9" i="2"/>
  <c r="GR9" i="2"/>
  <c r="GE10" i="2"/>
  <c r="GF10" i="2"/>
  <c r="GG10" i="2"/>
  <c r="GH10" i="2"/>
  <c r="GI10" i="2"/>
  <c r="GJ10" i="2"/>
  <c r="GM10" i="2"/>
  <c r="GN10" i="2"/>
  <c r="GO10" i="2"/>
  <c r="GP10" i="2"/>
  <c r="GQ10" i="2"/>
  <c r="GR10" i="2"/>
  <c r="GE11" i="2"/>
  <c r="GF11" i="2"/>
  <c r="GG11" i="2"/>
  <c r="GH11" i="2"/>
  <c r="GI11" i="2"/>
  <c r="GJ11" i="2"/>
  <c r="GM11" i="2"/>
  <c r="GN11" i="2"/>
  <c r="GO11" i="2"/>
  <c r="GP11" i="2"/>
  <c r="GQ11" i="2"/>
  <c r="GR11" i="2"/>
  <c r="GE12" i="2"/>
  <c r="GF12" i="2"/>
  <c r="GG12" i="2"/>
  <c r="GH12" i="2"/>
  <c r="GI12" i="2"/>
  <c r="GJ12" i="2"/>
  <c r="GM12" i="2"/>
  <c r="GN12" i="2"/>
  <c r="GO12" i="2"/>
  <c r="GP12" i="2"/>
  <c r="GQ12" i="2"/>
  <c r="GR12" i="2"/>
  <c r="GE13" i="2"/>
  <c r="GF13" i="2"/>
  <c r="GG13" i="2"/>
  <c r="GH13" i="2"/>
  <c r="GI13" i="2"/>
  <c r="GJ13" i="2"/>
  <c r="GM13" i="2"/>
  <c r="GN13" i="2"/>
  <c r="GO13" i="2"/>
  <c r="GP13" i="2"/>
  <c r="GQ13" i="2"/>
  <c r="GR13" i="2"/>
  <c r="GE14" i="2"/>
  <c r="GF14" i="2"/>
  <c r="GG14" i="2"/>
  <c r="GH14" i="2"/>
  <c r="GI14" i="2"/>
  <c r="GJ14" i="2"/>
  <c r="GM14" i="2"/>
  <c r="GN14" i="2"/>
  <c r="GO14" i="2"/>
  <c r="GP14" i="2"/>
  <c r="GQ14" i="2"/>
  <c r="GR14" i="2"/>
  <c r="GE15" i="2"/>
  <c r="GF15" i="2"/>
  <c r="GG15" i="2"/>
  <c r="GI15" i="2"/>
  <c r="GJ15" i="2"/>
  <c r="GM15" i="2"/>
  <c r="GN15" i="2"/>
  <c r="GO15" i="2"/>
  <c r="GP15" i="2"/>
  <c r="GQ15" i="2"/>
  <c r="GR15" i="2"/>
  <c r="GE16" i="2"/>
  <c r="GF16" i="2"/>
  <c r="GG16" i="2"/>
  <c r="GH16" i="2"/>
  <c r="GI16" i="2"/>
  <c r="GJ16" i="2"/>
  <c r="GM16" i="2"/>
  <c r="GN16" i="2"/>
  <c r="GO16" i="2"/>
  <c r="GP16" i="2"/>
  <c r="GQ16" i="2"/>
  <c r="GR16" i="2"/>
  <c r="GE17" i="2"/>
  <c r="GF17" i="2"/>
  <c r="GG17" i="2"/>
  <c r="GH17" i="2"/>
  <c r="GI17" i="2"/>
  <c r="GJ17" i="2"/>
  <c r="GM17" i="2"/>
  <c r="GN17" i="2"/>
  <c r="GO17" i="2"/>
  <c r="GP17" i="2"/>
  <c r="GQ17" i="2"/>
  <c r="GR17" i="2"/>
  <c r="GE18" i="2"/>
  <c r="GF18" i="2"/>
  <c r="GG18" i="2"/>
  <c r="GH18" i="2"/>
  <c r="GI18" i="2"/>
  <c r="GJ18" i="2"/>
  <c r="GM18" i="2"/>
  <c r="GN18" i="2"/>
  <c r="GO18" i="2"/>
  <c r="GP18" i="2"/>
  <c r="GQ18" i="2"/>
  <c r="GR18" i="2"/>
  <c r="GE19" i="2"/>
  <c r="GF19" i="2"/>
  <c r="GG19" i="2"/>
  <c r="GH19" i="2"/>
  <c r="GI19" i="2"/>
  <c r="GJ19" i="2"/>
  <c r="GM19" i="2"/>
  <c r="GN19" i="2"/>
  <c r="GO19" i="2"/>
  <c r="GP19" i="2"/>
  <c r="GQ19" i="2"/>
  <c r="GR19" i="2"/>
  <c r="GE20" i="2"/>
  <c r="GF20" i="2"/>
  <c r="GG20" i="2"/>
  <c r="GH20" i="2"/>
  <c r="GI20" i="2"/>
  <c r="GJ20" i="2"/>
  <c r="GK20" i="2"/>
  <c r="GL20" i="2"/>
  <c r="GM20" i="2"/>
  <c r="GN20" i="2"/>
  <c r="GO20" i="2"/>
  <c r="GP20" i="2"/>
  <c r="GQ20" i="2"/>
  <c r="GR20" i="2"/>
  <c r="GE21" i="2"/>
  <c r="GF21" i="2"/>
  <c r="GG21" i="2"/>
  <c r="GH21" i="2"/>
  <c r="GI21" i="2"/>
  <c r="GJ21" i="2"/>
  <c r="GM21" i="2"/>
  <c r="GN21" i="2"/>
  <c r="GO21" i="2"/>
  <c r="GP21" i="2"/>
  <c r="GQ21" i="2"/>
  <c r="GR21" i="2"/>
  <c r="GE22" i="2"/>
  <c r="GF22" i="2"/>
  <c r="GG22" i="2"/>
  <c r="GH22" i="2"/>
  <c r="GI22" i="2"/>
  <c r="GJ22" i="2"/>
  <c r="GM22" i="2"/>
  <c r="GN22" i="2"/>
  <c r="GO22" i="2"/>
  <c r="GP22" i="2"/>
  <c r="GQ22" i="2"/>
  <c r="GR22" i="2"/>
  <c r="GE23" i="2"/>
  <c r="GF23" i="2"/>
  <c r="GG23" i="2"/>
  <c r="GH23" i="2"/>
  <c r="GI23" i="2"/>
  <c r="GJ23" i="2"/>
  <c r="GM23" i="2"/>
  <c r="GN23" i="2"/>
  <c r="GO23" i="2"/>
  <c r="GP23" i="2"/>
  <c r="GQ23" i="2"/>
  <c r="GR23" i="2"/>
  <c r="GE24" i="2"/>
  <c r="GF24" i="2"/>
  <c r="GG24" i="2"/>
  <c r="GH24" i="2"/>
  <c r="GI24" i="2"/>
  <c r="GJ24" i="2"/>
  <c r="GM24" i="2"/>
  <c r="GN24" i="2"/>
  <c r="GO24" i="2"/>
  <c r="GP24" i="2"/>
  <c r="GQ24" i="2"/>
  <c r="GR24" i="2"/>
  <c r="GE25" i="2"/>
  <c r="GF25" i="2"/>
  <c r="GG25" i="2"/>
  <c r="GH25" i="2"/>
  <c r="GI25" i="2"/>
  <c r="GJ25" i="2"/>
  <c r="GM25" i="2"/>
  <c r="GN25" i="2"/>
  <c r="GO25" i="2"/>
  <c r="GP25" i="2"/>
  <c r="GQ25" i="2"/>
  <c r="GR25" i="2"/>
  <c r="GE26" i="2"/>
  <c r="GF26" i="2"/>
  <c r="GG26" i="2"/>
  <c r="GH26" i="2"/>
  <c r="GI26" i="2"/>
  <c r="GJ26" i="2"/>
  <c r="GM26" i="2"/>
  <c r="GN26" i="2"/>
  <c r="GO26" i="2"/>
  <c r="GP26" i="2"/>
  <c r="GQ26" i="2"/>
  <c r="GR26" i="2"/>
  <c r="GE27" i="2"/>
  <c r="GF27" i="2"/>
  <c r="GG27" i="2"/>
  <c r="GH27" i="2"/>
  <c r="GI27" i="2"/>
  <c r="GJ27" i="2"/>
  <c r="GM27" i="2"/>
  <c r="GN27" i="2"/>
  <c r="GO27" i="2"/>
  <c r="GP27" i="2"/>
  <c r="GQ27" i="2"/>
  <c r="GR27" i="2"/>
  <c r="GE28" i="2"/>
  <c r="GF28" i="2"/>
  <c r="GG28" i="2"/>
  <c r="GH28" i="2"/>
  <c r="GI28" i="2"/>
  <c r="GJ28" i="2"/>
  <c r="GM28" i="2"/>
  <c r="GN28" i="2"/>
  <c r="GO28" i="2"/>
  <c r="GP28" i="2"/>
  <c r="GQ28" i="2"/>
  <c r="GR28" i="2"/>
  <c r="GE29" i="2"/>
  <c r="GF29" i="2"/>
  <c r="GG29" i="2"/>
  <c r="GH29" i="2"/>
  <c r="GI29" i="2"/>
  <c r="GJ29" i="2"/>
  <c r="GM29" i="2"/>
  <c r="GN29" i="2"/>
  <c r="GO29" i="2"/>
  <c r="GP29" i="2"/>
  <c r="GQ29" i="2"/>
  <c r="GR29" i="2"/>
  <c r="GE30" i="2"/>
  <c r="GF30" i="2"/>
  <c r="GG30" i="2"/>
  <c r="GH30" i="2"/>
  <c r="GI30" i="2"/>
  <c r="GJ30" i="2"/>
  <c r="GM30" i="2"/>
  <c r="GN30" i="2"/>
  <c r="GO30" i="2"/>
  <c r="GP30" i="2"/>
  <c r="GQ30" i="2"/>
  <c r="GR30" i="2"/>
  <c r="GE31" i="2"/>
  <c r="GF31" i="2"/>
  <c r="GG31" i="2"/>
  <c r="GH31" i="2"/>
  <c r="GI31" i="2"/>
  <c r="GJ31" i="2"/>
  <c r="GM31" i="2"/>
  <c r="GN31" i="2"/>
  <c r="GO31" i="2"/>
  <c r="GP31" i="2"/>
  <c r="GQ31" i="2"/>
  <c r="GR31" i="2"/>
  <c r="GE32" i="2"/>
  <c r="GF32" i="2"/>
  <c r="GG32" i="2"/>
  <c r="GH32" i="2"/>
  <c r="GI32" i="2"/>
  <c r="GJ32" i="2"/>
  <c r="GM32" i="2"/>
  <c r="GN32" i="2"/>
  <c r="GO32" i="2"/>
  <c r="GP32" i="2"/>
  <c r="GQ32" i="2"/>
  <c r="GR32" i="2"/>
  <c r="GE33" i="2"/>
  <c r="GF33" i="2"/>
  <c r="GG33" i="2"/>
  <c r="GI33" i="2"/>
  <c r="GJ33" i="2"/>
  <c r="GM33" i="2"/>
  <c r="GN33" i="2"/>
  <c r="GO33" i="2"/>
  <c r="GP33" i="2"/>
  <c r="GQ33" i="2"/>
  <c r="GR33" i="2"/>
  <c r="GE34" i="2"/>
  <c r="GF34" i="2"/>
  <c r="GG34" i="2"/>
  <c r="GH34" i="2"/>
  <c r="GI34" i="2"/>
  <c r="GJ34" i="2"/>
  <c r="GM34" i="2"/>
  <c r="GN34" i="2"/>
  <c r="GO34" i="2"/>
  <c r="GP34" i="2"/>
  <c r="GQ34" i="2"/>
  <c r="GR34" i="2"/>
  <c r="GE35" i="2"/>
  <c r="GF35" i="2"/>
  <c r="GG35" i="2"/>
  <c r="GH35" i="2"/>
  <c r="GI35" i="2"/>
  <c r="GJ35" i="2"/>
  <c r="GM35" i="2"/>
  <c r="GN35" i="2"/>
  <c r="GO35" i="2"/>
  <c r="GP35" i="2"/>
  <c r="GQ35" i="2"/>
  <c r="GR35" i="2"/>
  <c r="GE36" i="2"/>
  <c r="GF36" i="2"/>
  <c r="GG36" i="2"/>
  <c r="GI36" i="2"/>
  <c r="GJ36" i="2"/>
  <c r="GM36" i="2"/>
  <c r="GN36" i="2"/>
  <c r="GO36" i="2"/>
  <c r="GP36" i="2"/>
  <c r="GQ36" i="2"/>
  <c r="GR36" i="2"/>
  <c r="GE37" i="2"/>
  <c r="GF37" i="2"/>
  <c r="GG37" i="2"/>
  <c r="GI37" i="2"/>
  <c r="GJ37" i="2"/>
  <c r="GM37" i="2"/>
  <c r="GN37" i="2"/>
  <c r="GO37" i="2"/>
  <c r="GP37" i="2"/>
  <c r="GQ37" i="2"/>
  <c r="GR37" i="2"/>
  <c r="GE38" i="2"/>
  <c r="GF38" i="2"/>
  <c r="GG38" i="2"/>
  <c r="GI38" i="2"/>
  <c r="GJ38" i="2"/>
  <c r="GM38" i="2"/>
  <c r="GN38" i="2"/>
  <c r="GO38" i="2"/>
  <c r="GP38" i="2"/>
  <c r="GQ38" i="2"/>
  <c r="GR38" i="2"/>
  <c r="GE39" i="2"/>
  <c r="GF39" i="2"/>
  <c r="GG39" i="2"/>
  <c r="GI39" i="2"/>
  <c r="GJ39" i="2"/>
  <c r="GM39" i="2"/>
  <c r="GN39" i="2"/>
  <c r="GO39" i="2"/>
  <c r="GP39" i="2"/>
  <c r="GQ39" i="2"/>
  <c r="GR39" i="2"/>
  <c r="GE40" i="2"/>
  <c r="GF40" i="2"/>
  <c r="GG40" i="2"/>
  <c r="GI40" i="2"/>
  <c r="GJ40" i="2"/>
  <c r="GM40" i="2"/>
  <c r="GN40" i="2"/>
  <c r="GO40" i="2"/>
  <c r="GP40" i="2"/>
  <c r="GQ40" i="2"/>
  <c r="GR40" i="2"/>
  <c r="GE41" i="2"/>
  <c r="GF41" i="2"/>
  <c r="GG41" i="2"/>
  <c r="GI41" i="2"/>
  <c r="GJ41" i="2"/>
  <c r="GM41" i="2"/>
  <c r="GN41" i="2"/>
  <c r="GO41" i="2"/>
  <c r="GP41" i="2"/>
  <c r="GQ41" i="2"/>
  <c r="GR41" i="2"/>
  <c r="GE42" i="2"/>
  <c r="GF42" i="2"/>
  <c r="GG42" i="2"/>
  <c r="GI42" i="2"/>
  <c r="GJ42" i="2"/>
  <c r="GM42" i="2"/>
  <c r="GN42" i="2"/>
  <c r="GO42" i="2"/>
  <c r="GP42" i="2"/>
  <c r="GQ42" i="2"/>
  <c r="GR42" i="2"/>
  <c r="GE43" i="2"/>
  <c r="GF43" i="2"/>
  <c r="GG43" i="2"/>
  <c r="GH43" i="2"/>
  <c r="GI43" i="2"/>
  <c r="GJ43" i="2"/>
  <c r="GM43" i="2"/>
  <c r="GN43" i="2"/>
  <c r="GO43" i="2"/>
  <c r="GP43" i="2"/>
  <c r="GQ43" i="2"/>
  <c r="GR43" i="2"/>
  <c r="GE44" i="2"/>
  <c r="GF44" i="2"/>
  <c r="GG44" i="2"/>
  <c r="GH44" i="2"/>
  <c r="GI44" i="2"/>
  <c r="GJ44" i="2"/>
  <c r="GM44" i="2"/>
  <c r="GN44" i="2"/>
  <c r="GO44" i="2"/>
  <c r="GP44" i="2"/>
  <c r="GQ44" i="2"/>
  <c r="GR44" i="2"/>
  <c r="GE45" i="2"/>
  <c r="GF45" i="2"/>
  <c r="GG45" i="2"/>
  <c r="GH45" i="2"/>
  <c r="GI45" i="2"/>
  <c r="GJ45" i="2"/>
  <c r="GM45" i="2"/>
  <c r="GN45" i="2"/>
  <c r="GO45" i="2"/>
  <c r="GP45" i="2"/>
  <c r="GQ45" i="2"/>
  <c r="GR45" i="2"/>
  <c r="GE46" i="2"/>
  <c r="GF46" i="2"/>
  <c r="GG46" i="2"/>
  <c r="GH46" i="2"/>
  <c r="GI46" i="2"/>
  <c r="GJ46" i="2"/>
  <c r="GM46" i="2"/>
  <c r="GN46" i="2"/>
  <c r="GO46" i="2"/>
  <c r="GP46" i="2"/>
  <c r="GQ46" i="2"/>
  <c r="GR46" i="2"/>
  <c r="GE47" i="2"/>
  <c r="GF47" i="2"/>
  <c r="GG47" i="2"/>
  <c r="GH47" i="2"/>
  <c r="GI47" i="2"/>
  <c r="GJ47" i="2"/>
  <c r="GM47" i="2"/>
  <c r="GN47" i="2"/>
  <c r="GO47" i="2"/>
  <c r="GP47" i="2"/>
  <c r="GQ47" i="2"/>
  <c r="GR47" i="2"/>
  <c r="GE48" i="2"/>
  <c r="GF48" i="2"/>
  <c r="GG48" i="2"/>
  <c r="GH48" i="2"/>
  <c r="GI48" i="2"/>
  <c r="GJ48" i="2"/>
  <c r="GM48" i="2"/>
  <c r="GN48" i="2"/>
  <c r="GO48" i="2"/>
  <c r="GP48" i="2"/>
  <c r="GQ48" i="2"/>
  <c r="GR48" i="2"/>
  <c r="GE49" i="2"/>
  <c r="GF49" i="2"/>
  <c r="GG49" i="2"/>
  <c r="GH49" i="2"/>
  <c r="GI49" i="2"/>
  <c r="GJ49" i="2"/>
  <c r="GM49" i="2"/>
  <c r="GN49" i="2"/>
  <c r="GO49" i="2"/>
  <c r="GP49" i="2"/>
  <c r="GQ49" i="2"/>
  <c r="GR49" i="2"/>
  <c r="GE50" i="2"/>
  <c r="GF50" i="2"/>
  <c r="GG50" i="2"/>
  <c r="GH50" i="2"/>
  <c r="GI50" i="2"/>
  <c r="GJ50" i="2"/>
  <c r="GM50" i="2"/>
  <c r="GN50" i="2"/>
  <c r="GO50" i="2"/>
  <c r="GP50" i="2"/>
  <c r="GQ50" i="2"/>
  <c r="GR50" i="2"/>
  <c r="GE51" i="2"/>
  <c r="GF51" i="2"/>
  <c r="GG51" i="2"/>
  <c r="GH51" i="2"/>
  <c r="GI51" i="2"/>
  <c r="GJ51" i="2"/>
  <c r="GM51" i="2"/>
  <c r="GN51" i="2"/>
  <c r="GO51" i="2"/>
  <c r="GP51" i="2"/>
  <c r="GQ51" i="2"/>
  <c r="GR51" i="2"/>
  <c r="GE52" i="2"/>
  <c r="GF52" i="2"/>
  <c r="GG52" i="2"/>
  <c r="GI52" i="2"/>
  <c r="GJ52" i="2"/>
  <c r="GM52" i="2"/>
  <c r="GN52" i="2"/>
  <c r="GO52" i="2"/>
  <c r="GP52" i="2"/>
  <c r="GQ52" i="2"/>
  <c r="GR52" i="2"/>
  <c r="GE53" i="2"/>
  <c r="GF53" i="2"/>
  <c r="GG53" i="2"/>
  <c r="GI53" i="2"/>
  <c r="GJ53" i="2"/>
  <c r="GM53" i="2"/>
  <c r="GN53" i="2"/>
  <c r="GO53" i="2"/>
  <c r="GP53" i="2"/>
  <c r="GQ53" i="2"/>
  <c r="GR53" i="2"/>
  <c r="GE54" i="2"/>
  <c r="GF54" i="2"/>
  <c r="GG54" i="2"/>
  <c r="GH54" i="2"/>
  <c r="GI54" i="2"/>
  <c r="GJ54" i="2"/>
  <c r="GM54" i="2"/>
  <c r="GN54" i="2"/>
  <c r="GO54" i="2"/>
  <c r="GP54" i="2"/>
  <c r="GQ54" i="2"/>
  <c r="GR54" i="2"/>
  <c r="GE55" i="2"/>
  <c r="GF55" i="2"/>
  <c r="GG55" i="2"/>
  <c r="GI55" i="2"/>
  <c r="GJ55" i="2"/>
  <c r="GM55" i="2"/>
  <c r="GN55" i="2"/>
  <c r="GO55" i="2"/>
  <c r="GP55" i="2"/>
  <c r="GQ55" i="2"/>
  <c r="GR55" i="2"/>
  <c r="GE56" i="2"/>
  <c r="GF56" i="2"/>
  <c r="GG56" i="2"/>
  <c r="GI56" i="2"/>
  <c r="GJ56" i="2"/>
  <c r="GM56" i="2"/>
  <c r="GN56" i="2"/>
  <c r="GO56" i="2"/>
  <c r="GP56" i="2"/>
  <c r="GQ56" i="2"/>
  <c r="GR56" i="2"/>
  <c r="GE57" i="2"/>
  <c r="GF57" i="2"/>
  <c r="GG57" i="2"/>
  <c r="GI57" i="2"/>
  <c r="GJ57" i="2"/>
  <c r="GM57" i="2"/>
  <c r="GN57" i="2"/>
  <c r="GO57" i="2"/>
  <c r="GP57" i="2"/>
  <c r="GQ57" i="2"/>
  <c r="GR57" i="2"/>
  <c r="GE58" i="2"/>
  <c r="GF58" i="2"/>
  <c r="GG58" i="2"/>
  <c r="GH58" i="2"/>
  <c r="GI58" i="2"/>
  <c r="GJ58" i="2"/>
  <c r="GM58" i="2"/>
  <c r="GN58" i="2"/>
  <c r="GO58" i="2"/>
  <c r="GP58" i="2"/>
  <c r="GQ58" i="2"/>
  <c r="GR58" i="2"/>
  <c r="GE59" i="2"/>
  <c r="GF59" i="2"/>
  <c r="GG59" i="2"/>
  <c r="GI59" i="2"/>
  <c r="GJ59" i="2"/>
  <c r="GM59" i="2"/>
  <c r="GN59" i="2"/>
  <c r="GO59" i="2"/>
  <c r="GP59" i="2"/>
  <c r="GQ59" i="2"/>
  <c r="GR59" i="2"/>
  <c r="GE60" i="2"/>
  <c r="GF60" i="2"/>
  <c r="GG60" i="2"/>
  <c r="GI60" i="2"/>
  <c r="GJ60" i="2"/>
  <c r="GM60" i="2"/>
  <c r="GN60" i="2"/>
  <c r="GO60" i="2"/>
  <c r="GP60" i="2"/>
  <c r="GQ60" i="2"/>
  <c r="GR60" i="2"/>
  <c r="GE61" i="2"/>
  <c r="GF61" i="2"/>
  <c r="GG61" i="2"/>
  <c r="GI61" i="2"/>
  <c r="GJ61" i="2"/>
  <c r="GM61" i="2"/>
  <c r="GN61" i="2"/>
  <c r="GO61" i="2"/>
  <c r="GP61" i="2"/>
  <c r="GQ61" i="2"/>
  <c r="GR61" i="2"/>
  <c r="GE62" i="2"/>
  <c r="GF62" i="2"/>
  <c r="GG62" i="2"/>
  <c r="GI62" i="2"/>
  <c r="GJ62" i="2"/>
  <c r="GM62" i="2"/>
  <c r="GN62" i="2"/>
  <c r="GO62" i="2"/>
  <c r="GP62" i="2"/>
  <c r="GQ62" i="2"/>
  <c r="GR62" i="2"/>
  <c r="GE63" i="2"/>
  <c r="GF63" i="2"/>
  <c r="GG63" i="2"/>
  <c r="GI63" i="2"/>
  <c r="GJ63" i="2"/>
  <c r="GM63" i="2"/>
  <c r="GN63" i="2"/>
  <c r="GO63" i="2"/>
  <c r="GP63" i="2"/>
  <c r="GQ63" i="2"/>
  <c r="GR63" i="2"/>
  <c r="GE64" i="2"/>
  <c r="GF64" i="2"/>
  <c r="GG64" i="2"/>
  <c r="GI64" i="2"/>
  <c r="GJ64" i="2"/>
  <c r="GM64" i="2"/>
  <c r="GN64" i="2"/>
  <c r="GO64" i="2"/>
  <c r="GP64" i="2"/>
  <c r="GQ64" i="2"/>
  <c r="GR64" i="2"/>
  <c r="GN3" i="2"/>
  <c r="GL3" i="2"/>
  <c r="GK3" i="2"/>
  <c r="GR3" i="2"/>
  <c r="GQ3" i="2"/>
  <c r="GP3" i="2"/>
  <c r="GO3" i="2"/>
  <c r="GM3" i="2"/>
  <c r="GJ3" i="2"/>
  <c r="GI3" i="2"/>
  <c r="GG3" i="2"/>
  <c r="GF3" i="2"/>
  <c r="GE3" i="2"/>
  <c r="CC7" i="1"/>
  <c r="CC23" i="1"/>
  <c r="CC48" i="1"/>
  <c r="CC44" i="1"/>
  <c r="CC32" i="1"/>
  <c r="CC45" i="1"/>
  <c r="CC6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3" i="1"/>
  <c r="J7" i="1"/>
  <c r="AE57" i="2"/>
  <c r="AE51" i="2"/>
  <c r="AE23" i="2"/>
  <c r="AE34" i="2"/>
  <c r="AE10" i="2"/>
  <c r="AE45" i="2"/>
  <c r="AE7" i="2"/>
  <c r="AE29" i="2"/>
  <c r="AE44" i="2"/>
  <c r="AE11" i="2"/>
  <c r="AE9" i="2"/>
  <c r="AE38" i="2"/>
  <c r="AE8" i="2"/>
  <c r="AE20" i="2"/>
  <c r="AE49" i="2"/>
  <c r="AE32" i="2"/>
  <c r="AE37" i="2"/>
  <c r="AE21" i="2"/>
  <c r="AE48" i="2"/>
  <c r="AE4" i="2"/>
  <c r="AE3" i="2"/>
  <c r="P55" i="2"/>
  <c r="P7" i="2"/>
  <c r="P11" i="2"/>
  <c r="P23" i="2"/>
  <c r="P48" i="2"/>
  <c r="P44" i="2"/>
  <c r="P49" i="2"/>
  <c r="P22" i="2"/>
  <c r="P21" i="2"/>
  <c r="P45" i="2"/>
  <c r="P6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3" i="2"/>
  <c r="GK4" i="2" l="1"/>
  <c r="GK10" i="2"/>
  <c r="GL10" i="2"/>
  <c r="GK11" i="2"/>
  <c r="GL11" i="2"/>
  <c r="GK12" i="2"/>
  <c r="GL12" i="2"/>
  <c r="GK13" i="2"/>
  <c r="GL13" i="2"/>
  <c r="GK14" i="2"/>
  <c r="GL14" i="2"/>
  <c r="GL31" i="2"/>
  <c r="GK32" i="2"/>
  <c r="GL32" i="2"/>
  <c r="GL33" i="2"/>
  <c r="GH39" i="2"/>
  <c r="GL51" i="2"/>
  <c r="GK53" i="2"/>
  <c r="GL53" i="2"/>
  <c r="GL55" i="2"/>
  <c r="GL57" i="2"/>
  <c r="GK58" i="2"/>
  <c r="GK59" i="2"/>
  <c r="GK60" i="2"/>
  <c r="GK61" i="2"/>
  <c r="GL61" i="2"/>
  <c r="GK63" i="2"/>
  <c r="GL64" i="2"/>
  <c r="GK6" i="2"/>
  <c r="GK7" i="2"/>
  <c r="GH15" i="2"/>
  <c r="GK15" i="2"/>
  <c r="GL15" i="2"/>
  <c r="GK16" i="2"/>
  <c r="GL16" i="2"/>
  <c r="GK17" i="2"/>
  <c r="GL17" i="2"/>
  <c r="GK18" i="2"/>
  <c r="GL18" i="2"/>
  <c r="GK19" i="2"/>
  <c r="GL19" i="2"/>
  <c r="GK34" i="2"/>
  <c r="GK35" i="2"/>
  <c r="GL35" i="2"/>
  <c r="GK36" i="2"/>
  <c r="GL36" i="2"/>
  <c r="GK37" i="2"/>
  <c r="GL37" i="2"/>
  <c r="GK38" i="2"/>
  <c r="GK39" i="2"/>
  <c r="GL39" i="2"/>
  <c r="GK40" i="2"/>
  <c r="GL40" i="2"/>
  <c r="GK41" i="2"/>
  <c r="GH42" i="2"/>
  <c r="GK42" i="2"/>
  <c r="GL42" i="2"/>
  <c r="GK51" i="2"/>
  <c r="GK55" i="2"/>
  <c r="GK56" i="2"/>
  <c r="GL60" i="2"/>
  <c r="GL62" i="2"/>
  <c r="GL5" i="2"/>
  <c r="GK21" i="2"/>
  <c r="GL21" i="2"/>
  <c r="GK22" i="2"/>
  <c r="GL22" i="2"/>
  <c r="GK23" i="2"/>
  <c r="GL23" i="2"/>
  <c r="GK24" i="2"/>
  <c r="GL24" i="2"/>
  <c r="GK25" i="2"/>
  <c r="GL25" i="2"/>
  <c r="GK26" i="2"/>
  <c r="GL26" i="2"/>
  <c r="GK27" i="2"/>
  <c r="GL27" i="2"/>
  <c r="GK28" i="2"/>
  <c r="GL28" i="2"/>
  <c r="GK29" i="2"/>
  <c r="GL29" i="2"/>
  <c r="GK30" i="2"/>
  <c r="GL30" i="2"/>
  <c r="GK31" i="2"/>
  <c r="GH33" i="2"/>
  <c r="GK33" i="2"/>
  <c r="GL34" i="2"/>
  <c r="GH36" i="2"/>
  <c r="GH37" i="2"/>
  <c r="GH38" i="2"/>
  <c r="GL38" i="2"/>
  <c r="GH40" i="2"/>
  <c r="GH41" i="2"/>
  <c r="GL41" i="2"/>
  <c r="GH52" i="2"/>
  <c r="GL52" i="2"/>
  <c r="GH53" i="2"/>
  <c r="GH55" i="2"/>
  <c r="GH56" i="2"/>
  <c r="GH57" i="2"/>
  <c r="GL58" i="2"/>
  <c r="GH59" i="2"/>
  <c r="GH62" i="2"/>
  <c r="GH63" i="2"/>
  <c r="GH64" i="2"/>
  <c r="GL4" i="2"/>
  <c r="GH5" i="2"/>
  <c r="GH6" i="2"/>
  <c r="GH7" i="2"/>
  <c r="GH8" i="2"/>
  <c r="GL8" i="2"/>
  <c r="GH9" i="2"/>
  <c r="GK43" i="2"/>
  <c r="GL43" i="2"/>
  <c r="GK44" i="2"/>
  <c r="GL44" i="2"/>
  <c r="GK45" i="2"/>
  <c r="GL45" i="2"/>
  <c r="GK46" i="2"/>
  <c r="GL46" i="2"/>
  <c r="GK47" i="2"/>
  <c r="GL47" i="2"/>
  <c r="GK48" i="2"/>
  <c r="GL48" i="2"/>
  <c r="GK49" i="2"/>
  <c r="GL49" i="2"/>
  <c r="GK50" i="2"/>
  <c r="GL50" i="2"/>
  <c r="GK52" i="2"/>
  <c r="GK54" i="2"/>
  <c r="GL54" i="2"/>
  <c r="GL56" i="2"/>
  <c r="GK57" i="2"/>
  <c r="GL59" i="2"/>
  <c r="GH60" i="2"/>
  <c r="GH61" i="2"/>
  <c r="GK62" i="2"/>
  <c r="GL63" i="2"/>
  <c r="GK64" i="2"/>
  <c r="GK5" i="2"/>
  <c r="GL6" i="2"/>
  <c r="GL7" i="2"/>
  <c r="GK8" i="2"/>
  <c r="GH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3" i="2"/>
  <c r="N3" i="2"/>
  <c r="N12" i="2"/>
  <c r="M12" i="2"/>
  <c r="N63" i="2"/>
  <c r="M63" i="2"/>
  <c r="N49" i="2"/>
  <c r="M49" i="2"/>
  <c r="N35" i="2"/>
  <c r="M35" i="2"/>
  <c r="N21" i="2"/>
  <c r="M21" i="2"/>
  <c r="N7" i="2"/>
  <c r="M7" i="2"/>
  <c r="N62" i="2"/>
  <c r="M62" i="2"/>
  <c r="N48" i="2"/>
  <c r="M48" i="2"/>
  <c r="N34" i="2"/>
  <c r="M34" i="2"/>
  <c r="N20" i="2"/>
  <c r="M20" i="2"/>
  <c r="N6" i="2"/>
  <c r="M6" i="2"/>
  <c r="N61" i="2"/>
  <c r="N47" i="2"/>
  <c r="M47" i="2"/>
  <c r="N33" i="2"/>
  <c r="M33" i="2"/>
  <c r="N19" i="2"/>
  <c r="M19" i="2"/>
  <c r="N5" i="2"/>
  <c r="M5" i="2"/>
  <c r="M60" i="2"/>
  <c r="N60" i="2"/>
  <c r="M46" i="2"/>
  <c r="N46" i="2"/>
  <c r="M32" i="2"/>
  <c r="N32" i="2"/>
  <c r="M18" i="2"/>
  <c r="N18" i="2"/>
  <c r="N4" i="2"/>
  <c r="M4" i="2"/>
  <c r="M59" i="2"/>
  <c r="N59" i="2"/>
  <c r="M45" i="2"/>
  <c r="N45" i="2"/>
  <c r="M31" i="2"/>
  <c r="N31" i="2"/>
  <c r="N17" i="2"/>
  <c r="M17" i="2"/>
  <c r="N58" i="2"/>
  <c r="M58" i="2"/>
  <c r="N44" i="2"/>
  <c r="M44" i="2"/>
  <c r="M30" i="2"/>
  <c r="N30" i="2"/>
  <c r="N16" i="2"/>
  <c r="M16" i="2"/>
  <c r="M57" i="2"/>
  <c r="N57" i="2"/>
  <c r="M43" i="2"/>
  <c r="N43" i="2"/>
  <c r="M29" i="2"/>
  <c r="N29" i="2"/>
  <c r="M15" i="2"/>
  <c r="N15" i="2"/>
  <c r="M56" i="2"/>
  <c r="N56" i="2"/>
  <c r="M42" i="2"/>
  <c r="N42" i="2"/>
  <c r="M28" i="2"/>
  <c r="N28" i="2"/>
  <c r="M14" i="2"/>
  <c r="N14" i="2"/>
  <c r="M55" i="2"/>
  <c r="N55" i="2"/>
  <c r="M41" i="2"/>
  <c r="N41" i="2"/>
  <c r="M27" i="2"/>
  <c r="N27" i="2"/>
  <c r="M13" i="2"/>
  <c r="N13" i="2"/>
  <c r="N54" i="2"/>
  <c r="M54" i="2"/>
  <c r="N40" i="2"/>
  <c r="M40" i="2"/>
  <c r="N26" i="2"/>
  <c r="M26" i="2"/>
  <c r="N53" i="2"/>
  <c r="M53" i="2"/>
  <c r="N39" i="2"/>
  <c r="M39" i="2"/>
  <c r="N25" i="2"/>
  <c r="M25" i="2"/>
  <c r="N11" i="2"/>
  <c r="M11" i="2"/>
  <c r="N52" i="2"/>
  <c r="M52" i="2"/>
  <c r="N38" i="2"/>
  <c r="M38" i="2"/>
  <c r="M24" i="2"/>
  <c r="N24" i="2"/>
  <c r="N10" i="2"/>
  <c r="M10" i="2"/>
  <c r="M3" i="2"/>
  <c r="N51" i="2"/>
  <c r="M51" i="2"/>
  <c r="N37" i="2"/>
  <c r="M37" i="2"/>
  <c r="N23" i="2"/>
  <c r="M23" i="2"/>
  <c r="M9" i="2"/>
  <c r="N9" i="2"/>
  <c r="N64" i="2"/>
  <c r="M64" i="2"/>
  <c r="M50" i="2"/>
  <c r="N50" i="2"/>
  <c r="M36" i="2"/>
  <c r="N36" i="2"/>
  <c r="M22" i="2"/>
  <c r="N22" i="2"/>
  <c r="M8" i="2"/>
  <c r="N8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3" i="2"/>
  <c r="BL63" i="1" l="1"/>
  <c r="BL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1" i="1"/>
  <c r="BL52" i="1"/>
  <c r="BL53" i="1"/>
  <c r="BL54" i="1"/>
  <c r="BL55" i="1"/>
  <c r="BL57" i="1"/>
  <c r="BL58" i="1"/>
  <c r="BL59" i="1"/>
  <c r="BL60" i="1"/>
  <c r="BL61" i="1"/>
  <c r="BL62" i="1"/>
  <c r="BO60" i="1"/>
  <c r="BO61" i="1"/>
  <c r="BO62" i="1"/>
  <c r="BO63" i="1"/>
  <c r="BM60" i="1"/>
  <c r="BM61" i="1"/>
  <c r="BM62" i="1"/>
  <c r="BM6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1" i="1"/>
  <c r="X52" i="1"/>
  <c r="X53" i="1"/>
  <c r="X54" i="1"/>
  <c r="X55" i="1"/>
  <c r="X57" i="1"/>
  <c r="X58" i="1"/>
  <c r="X59" i="1"/>
  <c r="X60" i="1"/>
  <c r="X61" i="1"/>
  <c r="X62" i="1"/>
  <c r="X63" i="1"/>
  <c r="BL50" i="1"/>
  <c r="J4" i="1"/>
  <c r="J5" i="1"/>
  <c r="J6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7" i="1"/>
  <c r="J58" i="1"/>
  <c r="J59" i="1"/>
  <c r="J60" i="1"/>
  <c r="J61" i="1"/>
  <c r="J62" i="1"/>
  <c r="G61" i="2"/>
  <c r="M61" i="2" s="1"/>
  <c r="X50" i="1" l="1"/>
  <c r="BN63" i="1"/>
  <c r="BN61" i="1"/>
  <c r="BN62" i="1"/>
  <c r="BN60" i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7" i="2"/>
  <c r="J58" i="2"/>
  <c r="J59" i="2"/>
  <c r="J60" i="2"/>
  <c r="J61" i="2"/>
  <c r="J62" i="2"/>
  <c r="J3" i="2"/>
  <c r="AW61" i="1"/>
  <c r="AI61" i="1"/>
  <c r="BK61" i="1" s="1"/>
  <c r="BK4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7" i="1"/>
  <c r="BK58" i="1"/>
  <c r="BK59" i="1"/>
  <c r="BK60" i="1"/>
  <c r="BM4" i="1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7" i="1"/>
  <c r="BM58" i="1"/>
  <c r="BM59" i="1"/>
  <c r="BM3" i="1"/>
  <c r="BL3" i="1"/>
  <c r="BK3" i="1"/>
  <c r="BB4" i="1"/>
  <c r="BP4" i="1" s="1"/>
  <c r="BB5" i="1"/>
  <c r="BB6" i="1"/>
  <c r="BB7" i="1"/>
  <c r="BP7" i="1" s="1"/>
  <c r="BB8" i="1"/>
  <c r="BB9" i="1"/>
  <c r="BP9" i="1" s="1"/>
  <c r="BB10" i="1"/>
  <c r="BP10" i="1" s="1"/>
  <c r="BB11" i="1"/>
  <c r="BP11" i="1" s="1"/>
  <c r="BB12" i="1"/>
  <c r="BP12" i="1" s="1"/>
  <c r="BB13" i="1"/>
  <c r="BP13" i="1" s="1"/>
  <c r="BB14" i="1"/>
  <c r="BP14" i="1" s="1"/>
  <c r="BB15" i="1"/>
  <c r="BP15" i="1" s="1"/>
  <c r="BB16" i="1"/>
  <c r="BP16" i="1" s="1"/>
  <c r="BB17" i="1"/>
  <c r="BP17" i="1" s="1"/>
  <c r="BB18" i="1"/>
  <c r="BP18" i="1" s="1"/>
  <c r="BB19" i="1"/>
  <c r="BB20" i="1"/>
  <c r="BB21" i="1"/>
  <c r="BP21" i="1" s="1"/>
  <c r="BB22" i="1"/>
  <c r="BB23" i="1"/>
  <c r="BP23" i="1" s="1"/>
  <c r="BB24" i="1"/>
  <c r="BP24" i="1" s="1"/>
  <c r="BB25" i="1"/>
  <c r="BP25" i="1" s="1"/>
  <c r="BB26" i="1"/>
  <c r="BP26" i="1" s="1"/>
  <c r="BB27" i="1"/>
  <c r="BP27" i="1" s="1"/>
  <c r="BB28" i="1"/>
  <c r="BP28" i="1" s="1"/>
  <c r="BB29" i="1"/>
  <c r="BP29" i="1" s="1"/>
  <c r="BB30" i="1"/>
  <c r="BB31" i="1"/>
  <c r="BP31" i="1" s="1"/>
  <c r="BB32" i="1"/>
  <c r="BP32" i="1" s="1"/>
  <c r="BB33" i="1"/>
  <c r="BB34" i="1"/>
  <c r="BP34" i="1" s="1"/>
  <c r="BB35" i="1"/>
  <c r="BP35" i="1" s="1"/>
  <c r="BB36" i="1"/>
  <c r="BB37" i="1"/>
  <c r="BP37" i="1" s="1"/>
  <c r="BB38" i="1"/>
  <c r="BP38" i="1" s="1"/>
  <c r="BB39" i="1"/>
  <c r="BP39" i="1" s="1"/>
  <c r="BB40" i="1"/>
  <c r="BP40" i="1" s="1"/>
  <c r="BB41" i="1"/>
  <c r="BP41" i="1" s="1"/>
  <c r="BB42" i="1"/>
  <c r="BP42" i="1" s="1"/>
  <c r="BB43" i="1"/>
  <c r="BP43" i="1" s="1"/>
  <c r="BB44" i="1"/>
  <c r="BP44" i="1" s="1"/>
  <c r="BB45" i="1"/>
  <c r="BP45" i="1" s="1"/>
  <c r="BB46" i="1"/>
  <c r="BP46" i="1" s="1"/>
  <c r="BB47" i="1"/>
  <c r="BB48" i="1"/>
  <c r="BP48" i="1" s="1"/>
  <c r="BB49" i="1"/>
  <c r="BP49" i="1" s="1"/>
  <c r="BB50" i="1"/>
  <c r="BB51" i="1"/>
  <c r="BP51" i="1" s="1"/>
  <c r="BB52" i="1"/>
  <c r="BP52" i="1" s="1"/>
  <c r="BB53" i="1"/>
  <c r="BP53" i="1" s="1"/>
  <c r="BB54" i="1"/>
  <c r="BP54" i="1" s="1"/>
  <c r="BB55" i="1"/>
  <c r="BP55" i="1" s="1"/>
  <c r="BB57" i="1"/>
  <c r="BP57" i="1" s="1"/>
  <c r="BB58" i="1"/>
  <c r="BP58" i="1" s="1"/>
  <c r="BB59" i="1"/>
  <c r="BP59" i="1" s="1"/>
  <c r="BB60" i="1"/>
  <c r="BP60" i="1" s="1"/>
  <c r="BB3" i="1"/>
  <c r="BP3" i="1" s="1"/>
  <c r="BO10" i="1"/>
  <c r="BO11" i="1"/>
  <c r="BO12" i="1"/>
  <c r="BO13" i="1"/>
  <c r="BO14" i="1"/>
  <c r="BO15" i="1"/>
  <c r="BO16" i="1"/>
  <c r="BO17" i="1"/>
  <c r="BO24" i="1"/>
  <c r="BO28" i="1"/>
  <c r="BO29" i="1"/>
  <c r="BO30" i="1"/>
  <c r="BO31" i="1"/>
  <c r="BO43" i="1"/>
  <c r="BO44" i="1"/>
  <c r="BO45" i="1"/>
  <c r="BO48" i="1"/>
  <c r="BO49" i="1"/>
  <c r="BO50" i="1"/>
  <c r="BO51" i="1"/>
  <c r="BO52" i="1"/>
  <c r="BO53" i="1"/>
  <c r="BO54" i="1"/>
  <c r="BO55" i="1"/>
  <c r="BO57" i="1"/>
  <c r="BO58" i="1"/>
  <c r="BO59" i="1"/>
  <c r="BO4" i="1"/>
  <c r="BO18" i="1"/>
  <c r="BO25" i="1"/>
  <c r="BO26" i="1"/>
  <c r="BO27" i="1"/>
  <c r="BO32" i="1"/>
  <c r="BO34" i="1"/>
  <c r="BO35" i="1"/>
  <c r="BO36" i="1"/>
  <c r="BO37" i="1"/>
  <c r="BO38" i="1"/>
  <c r="BO39" i="1"/>
  <c r="BO40" i="1"/>
  <c r="BO41" i="1"/>
  <c r="BO42" i="1"/>
  <c r="BO46" i="1"/>
  <c r="BO20" i="1"/>
  <c r="BO22" i="1"/>
  <c r="BO47" i="1"/>
  <c r="BO21" i="1"/>
  <c r="X3" i="1"/>
  <c r="BO3" i="1"/>
  <c r="J3" i="1"/>
  <c r="BT4" i="1"/>
  <c r="BT5" i="1"/>
  <c r="BT6" i="1"/>
  <c r="BT7" i="1"/>
  <c r="BT8" i="1"/>
  <c r="BT9" i="1"/>
  <c r="BT10" i="1"/>
  <c r="BT11" i="1"/>
  <c r="BT12" i="1"/>
  <c r="BT13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27" i="1"/>
  <c r="BT28" i="1"/>
  <c r="BT29" i="1"/>
  <c r="BT30" i="1"/>
  <c r="BT31" i="1"/>
  <c r="BT32" i="1"/>
  <c r="BT33" i="1"/>
  <c r="BT34" i="1"/>
  <c r="BT35" i="1"/>
  <c r="BT36" i="1"/>
  <c r="BT37" i="1"/>
  <c r="BT38" i="1"/>
  <c r="BT39" i="1"/>
  <c r="BT40" i="1"/>
  <c r="BT41" i="1"/>
  <c r="BT42" i="1"/>
  <c r="BT43" i="1"/>
  <c r="BT44" i="1"/>
  <c r="BT45" i="1"/>
  <c r="BT46" i="1"/>
  <c r="BT47" i="1"/>
  <c r="BT48" i="1"/>
  <c r="BT49" i="1"/>
  <c r="BT50" i="1"/>
  <c r="BT51" i="1"/>
  <c r="BT52" i="1"/>
  <c r="BT53" i="1"/>
  <c r="BT54" i="1"/>
  <c r="BT55" i="1"/>
  <c r="BT57" i="1"/>
  <c r="BT58" i="1"/>
  <c r="BT59" i="1"/>
  <c r="BT60" i="1"/>
  <c r="BT3" i="1"/>
  <c r="BO5" i="1"/>
  <c r="BO6" i="1"/>
  <c r="BO7" i="1"/>
  <c r="BO8" i="1"/>
  <c r="BO9" i="1"/>
  <c r="BO19" i="1"/>
  <c r="BO23" i="1"/>
  <c r="BO33" i="1"/>
  <c r="BN4" i="1" l="1"/>
  <c r="BN19" i="1"/>
  <c r="BN46" i="1"/>
  <c r="BN15" i="1"/>
  <c r="BN52" i="1"/>
  <c r="BN18" i="1"/>
  <c r="BN13" i="1"/>
  <c r="BN37" i="1"/>
  <c r="BP50" i="1"/>
  <c r="BP8" i="1"/>
  <c r="BP20" i="1"/>
  <c r="BP6" i="1"/>
  <c r="BP47" i="1"/>
  <c r="BP33" i="1"/>
  <c r="BP19" i="1"/>
  <c r="BP5" i="1"/>
  <c r="BP22" i="1"/>
  <c r="BP36" i="1"/>
  <c r="BP30" i="1"/>
  <c r="BN12" i="1"/>
  <c r="BN16" i="1"/>
  <c r="BN7" i="1"/>
  <c r="BN20" i="1"/>
  <c r="BN3" i="1"/>
  <c r="BN43" i="1"/>
  <c r="BN57" i="1"/>
  <c r="BN41" i="1"/>
  <c r="BN27" i="1"/>
  <c r="BN58" i="1"/>
  <c r="BN38" i="1"/>
  <c r="BN51" i="1"/>
  <c r="BN23" i="1"/>
  <c r="BN34" i="1"/>
  <c r="BN45" i="1"/>
  <c r="BN26" i="1"/>
  <c r="BN53" i="1"/>
  <c r="BN50" i="1"/>
  <c r="BN48" i="1"/>
  <c r="BN59" i="1"/>
  <c r="BN44" i="1"/>
  <c r="BN30" i="1"/>
  <c r="CG10" i="1"/>
  <c r="CG33" i="1"/>
  <c r="CG23" i="1"/>
  <c r="CG40" i="1"/>
  <c r="CG6" i="1"/>
  <c r="CG25" i="1"/>
  <c r="CG49" i="1"/>
  <c r="CG26" i="1"/>
  <c r="CG9" i="1"/>
  <c r="CG5" i="1"/>
  <c r="CG48" i="1"/>
  <c r="CG17" i="1"/>
  <c r="CG24" i="1"/>
  <c r="CG29" i="1"/>
  <c r="CG20" i="1"/>
  <c r="CG57" i="1"/>
  <c r="CG44" i="1"/>
  <c r="BN11" i="1" l="1"/>
  <c r="BN14" i="1"/>
  <c r="BN42" i="1"/>
  <c r="BN17" i="1"/>
  <c r="BN47" i="1"/>
  <c r="BN21" i="1"/>
  <c r="BN49" i="1"/>
  <c r="BN24" i="1"/>
  <c r="BN25" i="1"/>
  <c r="BN22" i="1"/>
  <c r="BN28" i="1"/>
  <c r="BN54" i="1"/>
  <c r="BN29" i="1"/>
  <c r="BN55" i="1"/>
  <c r="BN31" i="1"/>
  <c r="BN5" i="1"/>
  <c r="BN32" i="1"/>
  <c r="BN6" i="1"/>
  <c r="BN33" i="1"/>
  <c r="BN8" i="1"/>
  <c r="BN35" i="1"/>
  <c r="BN9" i="1"/>
  <c r="BN36" i="1"/>
  <c r="BN10" i="1"/>
  <c r="BN39" i="1"/>
  <c r="BN40" i="1"/>
</calcChain>
</file>

<file path=xl/sharedStrings.xml><?xml version="1.0" encoding="utf-8"?>
<sst xmlns="http://schemas.openxmlformats.org/spreadsheetml/2006/main" count="1702" uniqueCount="159">
  <si>
    <t>Clients</t>
  </si>
  <si>
    <t>Region</t>
  </si>
  <si>
    <t>West</t>
  </si>
  <si>
    <t>Schaeffler</t>
  </si>
  <si>
    <t>Vertiv</t>
  </si>
  <si>
    <t>Hyundai Motor</t>
  </si>
  <si>
    <t>Bridgestone</t>
  </si>
  <si>
    <t>Pfizer</t>
  </si>
  <si>
    <t>Pidilite</t>
  </si>
  <si>
    <t>Birla Paints</t>
  </si>
  <si>
    <t>M&amp;M</t>
  </si>
  <si>
    <t>DP World</t>
  </si>
  <si>
    <t>AMNS</t>
  </si>
  <si>
    <t>Mahindra Holidays</t>
  </si>
  <si>
    <t>Tata Consumer</t>
  </si>
  <si>
    <t>Tata Play</t>
  </si>
  <si>
    <t>Mahindra Finance</t>
  </si>
  <si>
    <t>Atomberg Technologies</t>
  </si>
  <si>
    <t>Ambuja Cement</t>
  </si>
  <si>
    <t>Vertiv Leadership</t>
  </si>
  <si>
    <t>M&amp;M Leadership</t>
  </si>
  <si>
    <t>Hyundai Motor Leadership</t>
  </si>
  <si>
    <t>AMNS Leadership</t>
  </si>
  <si>
    <t>Mahindra Holidays Leadership</t>
  </si>
  <si>
    <t>Q1</t>
  </si>
  <si>
    <t>CM%</t>
  </si>
  <si>
    <t>Cost</t>
  </si>
  <si>
    <t>PPC</t>
  </si>
  <si>
    <t>Rev Pro</t>
  </si>
  <si>
    <t>Q2</t>
  </si>
  <si>
    <t>NeoSoft</t>
  </si>
  <si>
    <t>Q3</t>
  </si>
  <si>
    <t>Q4</t>
  </si>
  <si>
    <t>Total</t>
  </si>
  <si>
    <t>Taggd Rev Productivity</t>
  </si>
  <si>
    <t>Project</t>
  </si>
  <si>
    <t>Honeywell</t>
  </si>
  <si>
    <t>SKF India</t>
  </si>
  <si>
    <t>Siemens (Advatnta &amp; GBS)</t>
  </si>
  <si>
    <t>Siemens Energy</t>
  </si>
  <si>
    <t>HPE</t>
  </si>
  <si>
    <t>Isuzu</t>
  </si>
  <si>
    <t>BITS</t>
  </si>
  <si>
    <t>Wipro</t>
  </si>
  <si>
    <t>Tata Electronics</t>
  </si>
  <si>
    <t>Jindal Stainless</t>
  </si>
  <si>
    <t>Royal Enfield</t>
  </si>
  <si>
    <t>SBI Card</t>
  </si>
  <si>
    <t>Maruti Suzuki(MSIL)</t>
  </si>
  <si>
    <t>Subros Ltd</t>
  </si>
  <si>
    <t>Ashok Leyland</t>
  </si>
  <si>
    <t>Sterling Tools</t>
  </si>
  <si>
    <t>Pernod Ricard</t>
  </si>
  <si>
    <t>Nagarjuna Leadership</t>
  </si>
  <si>
    <t>ABB</t>
  </si>
  <si>
    <t>Siemens Healthnier</t>
  </si>
  <si>
    <t>LEAP India</t>
  </si>
  <si>
    <t>UniCharm</t>
  </si>
  <si>
    <t>Optum</t>
  </si>
  <si>
    <t>Saint Gobain</t>
  </si>
  <si>
    <t>Honeywell Leadership</t>
  </si>
  <si>
    <t>Subros Leadership</t>
  </si>
  <si>
    <t>Siemens Leadership</t>
  </si>
  <si>
    <t>Royal Enfield Leadership</t>
  </si>
  <si>
    <t>Sterling Tools Leadership</t>
  </si>
  <si>
    <t>CG Power</t>
  </si>
  <si>
    <t>Exclusive</t>
  </si>
  <si>
    <t>Middle East</t>
  </si>
  <si>
    <t>HC</t>
  </si>
  <si>
    <t>Bapi</t>
  </si>
  <si>
    <t>South</t>
  </si>
  <si>
    <t>Mahak</t>
  </si>
  <si>
    <t>Ashish</t>
  </si>
  <si>
    <t>Budget Rev</t>
  </si>
  <si>
    <t>Forecast Rev</t>
  </si>
  <si>
    <t>Internal Governence</t>
  </si>
  <si>
    <t>Managers</t>
  </si>
  <si>
    <t>PH</t>
  </si>
  <si>
    <t>Billing</t>
  </si>
  <si>
    <t>Collection</t>
  </si>
  <si>
    <t>Issue</t>
  </si>
  <si>
    <t>Leaders</t>
  </si>
  <si>
    <t>Metglass</t>
  </si>
  <si>
    <t>Sudha Pandey</t>
  </si>
  <si>
    <t>Parul Jain</t>
  </si>
  <si>
    <t>North</t>
  </si>
  <si>
    <t>Reliance</t>
  </si>
  <si>
    <t>Tata Power</t>
  </si>
  <si>
    <t>CollectionAmount overdue &gt;30 Days</t>
  </si>
  <si>
    <t>Issue Status</t>
  </si>
  <si>
    <t>Yes</t>
  </si>
  <si>
    <t>No</t>
  </si>
  <si>
    <t>Account</t>
  </si>
  <si>
    <t>Red Account</t>
  </si>
  <si>
    <t>SLA</t>
  </si>
  <si>
    <t>SLA Status</t>
  </si>
  <si>
    <t>Green</t>
  </si>
  <si>
    <t>Red</t>
  </si>
  <si>
    <t>Top 10</t>
  </si>
  <si>
    <t>Last Year Unbilled Amount</t>
  </si>
  <si>
    <t>Current Year Unbilled Amount</t>
  </si>
  <si>
    <t>Function Head</t>
  </si>
  <si>
    <t>Source Mix</t>
  </si>
  <si>
    <t>RPH</t>
  </si>
  <si>
    <t>Amber</t>
  </si>
  <si>
    <t>Not Reported</t>
  </si>
  <si>
    <t>Account Status</t>
  </si>
  <si>
    <t>Old Account</t>
  </si>
  <si>
    <t>New Account</t>
  </si>
  <si>
    <t>New Sales</t>
  </si>
  <si>
    <t>Quantiphi</t>
  </si>
  <si>
    <t>Rahul</t>
  </si>
  <si>
    <t>Apr</t>
  </si>
  <si>
    <t>Actual Revenue</t>
  </si>
  <si>
    <t>May</t>
  </si>
  <si>
    <t>June</t>
  </si>
  <si>
    <t>Unbilled</t>
  </si>
  <si>
    <t>Budget Revenue</t>
  </si>
  <si>
    <t>LAAP India</t>
  </si>
  <si>
    <t>Abhilash Ranjan</t>
  </si>
  <si>
    <t>Ametek</t>
  </si>
  <si>
    <t>-</t>
  </si>
  <si>
    <t>CG Power Leadership</t>
  </si>
  <si>
    <t/>
  </si>
  <si>
    <t>Taggd Joiner</t>
  </si>
  <si>
    <t>Other Joiner</t>
  </si>
  <si>
    <t>Total Joiner</t>
  </si>
  <si>
    <t>Archana Tarikha</t>
  </si>
  <si>
    <t>July</t>
  </si>
  <si>
    <t>Aug</t>
  </si>
  <si>
    <t>Sep</t>
  </si>
  <si>
    <t>Oct</t>
  </si>
  <si>
    <t>Nov</t>
  </si>
  <si>
    <t>Dec</t>
  </si>
  <si>
    <t>Jan</t>
  </si>
  <si>
    <t>Feb</t>
  </si>
  <si>
    <t>Mar</t>
  </si>
  <si>
    <t>Collection Target</t>
  </si>
  <si>
    <t>Ingram Micro</t>
  </si>
  <si>
    <t>P&amp;G</t>
  </si>
  <si>
    <t>Tata Marcopolo</t>
  </si>
  <si>
    <t>DRL</t>
  </si>
  <si>
    <t>Anjli Zutshi</t>
  </si>
  <si>
    <t>Ashish Kapur</t>
  </si>
  <si>
    <t>Bapi Reddy</t>
  </si>
  <si>
    <t>Mahak Kaura</t>
  </si>
  <si>
    <t>Manish Malhotra</t>
  </si>
  <si>
    <t>Amit Jain</t>
  </si>
  <si>
    <t>Rahul Khurana</t>
  </si>
  <si>
    <t>Alifia Hirani</t>
  </si>
  <si>
    <t>Krishna Pillai</t>
  </si>
  <si>
    <t>Kunal Sehgal</t>
  </si>
  <si>
    <t>Lekhana B</t>
  </si>
  <si>
    <t>Kumar Saurabh</t>
  </si>
  <si>
    <t>Satyanarayana Ruttala</t>
  </si>
  <si>
    <t>Subramanyapavan Jonnalagadda</t>
  </si>
  <si>
    <t>Acutal Collection</t>
  </si>
  <si>
    <t>Not Applicable</t>
  </si>
  <si>
    <t>YTD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</si>
</sst>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200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/>
    <xf numFmtId="0" fontId="0" fillId="4" borderId="1" xfId="0" applyFill="1" applyBorder="1" applyAlignment="1">
      <alignment horizontal="center"/>
    </xf>
    <xf numFmtId="0" fontId="0" fillId="4" borderId="0" xfId="0" applyFill="1"/>
    <xf numFmtId="165" fontId="0" fillId="0" borderId="0" xfId="0" applyNumberFormat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 vertical="center"/>
    </xf>
    <xf numFmtId="164" fontId="0" fillId="0" borderId="6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" fontId="0" fillId="0" borderId="1" xfId="0" applyNumberFormat="1" applyBorder="1"/>
    <xf numFmtId="2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9" fontId="0" fillId="0" borderId="0" xfId="0" applyNumberFormat="1"/>
    <xf numFmtId="1" fontId="0" fillId="0" borderId="0" xfId="0" applyNumberFormat="1" applyAlignment="1">
      <alignment horizontal="center"/>
    </xf>
    <xf numFmtId="164" fontId="0" fillId="0" borderId="1" xfId="0" applyNumberFormat="1" applyBorder="1"/>
    <xf numFmtId="0" fontId="0" fillId="4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F86FD-6DF2-4802-8402-DE850AA85999}">
  <dimension ref="A1:CO63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defaultRowHeight="14.5" x14ac:dyDescent="0.35"/>
  <cols>
    <col min="1" max="1" width="25.26953125" bestFit="1" customWidth="1"/>
    <col min="2" max="2" width="9.54296875" customWidth="1"/>
    <col min="3" max="3" width="12.90625" bestFit="1" customWidth="1"/>
    <col min="4" max="4" width="12.90625" customWidth="1"/>
    <col min="5" max="5" width="8.7265625" customWidth="1"/>
    <col min="6" max="6" width="3.6328125" customWidth="1"/>
    <col min="7" max="7" width="10.08984375" customWidth="1"/>
    <col min="8" max="8" width="11.453125" customWidth="1"/>
    <col min="9" max="12" width="8.7265625" customWidth="1"/>
    <col min="13" max="13" width="10.90625" bestFit="1" customWidth="1"/>
    <col min="14" max="14" width="9.90625" bestFit="1" customWidth="1"/>
    <col min="15" max="15" width="19.7265625" customWidth="1"/>
    <col min="16" max="16" width="8.7265625" customWidth="1"/>
    <col min="17" max="17" width="10.90625" bestFit="1" customWidth="1"/>
    <col min="18" max="18" width="10.7265625" bestFit="1" customWidth="1"/>
    <col min="19" max="19" width="10.1796875" bestFit="1" customWidth="1"/>
    <col min="20" max="20" width="4" customWidth="1"/>
    <col min="21" max="21" width="10.08984375" customWidth="1"/>
    <col min="22" max="22" width="11.453125" customWidth="1"/>
    <col min="23" max="28" width="8.7265625" customWidth="1"/>
    <col min="29" max="29" width="19.7265625" customWidth="1"/>
    <col min="30" max="33" width="8.7265625" customWidth="1"/>
    <col min="35" max="35" width="10.08984375" bestFit="1" customWidth="1"/>
    <col min="36" max="36" width="11.453125" bestFit="1" customWidth="1"/>
    <col min="43" max="43" width="19.7265625" bestFit="1" customWidth="1"/>
    <col min="44" max="44" width="9.36328125" bestFit="1" customWidth="1"/>
    <col min="45" max="47" width="9.36328125" customWidth="1"/>
    <col min="49" max="49" width="10.08984375" bestFit="1" customWidth="1"/>
    <col min="50" max="50" width="11.453125" bestFit="1" customWidth="1"/>
    <col min="63" max="63" width="10.08984375" bestFit="1" customWidth="1"/>
    <col min="76" max="76" width="4.08984375" customWidth="1"/>
    <col min="79" max="79" width="13.08984375" bestFit="1" customWidth="1"/>
    <col min="80" max="80" width="2.81640625" customWidth="1"/>
    <col min="81" max="81" width="23.08984375" bestFit="1" customWidth="1"/>
    <col min="82" max="82" width="3.7265625" customWidth="1"/>
    <col min="83" max="83" width="26.08984375" bestFit="1" customWidth="1"/>
    <col min="84" max="84" width="4.26953125" customWidth="1"/>
    <col min="85" max="85" width="31.36328125" customWidth="1"/>
    <col min="86" max="86" width="3.26953125" customWidth="1"/>
    <col min="87" max="87" width="11" customWidth="1"/>
    <col min="88" max="88" width="2.1796875" customWidth="1"/>
    <col min="89" max="89" width="11" customWidth="1"/>
    <col min="90" max="90" width="3" customWidth="1"/>
    <col min="91" max="91" width="8.7265625" customWidth="1"/>
    <col min="92" max="92" width="3.36328125" customWidth="1"/>
    <col min="93" max="93" width="8.7265625" customWidth="1"/>
  </cols>
  <sheetData>
    <row r="1" spans="1:93" x14ac:dyDescent="0.35">
      <c r="G1" s="37" t="s">
        <v>24</v>
      </c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U1" s="39" t="s">
        <v>29</v>
      </c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I1" s="37" t="s">
        <v>31</v>
      </c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W1" s="39" t="s">
        <v>32</v>
      </c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K1" s="38" t="s">
        <v>33</v>
      </c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Y1" s="36" t="s">
        <v>75</v>
      </c>
      <c r="BZ1" s="36"/>
      <c r="CA1" s="36"/>
      <c r="CC1" s="19" t="s">
        <v>78</v>
      </c>
      <c r="CE1" s="19" t="s">
        <v>78</v>
      </c>
      <c r="CG1" s="19" t="s">
        <v>79</v>
      </c>
      <c r="CI1" s="19" t="s">
        <v>80</v>
      </c>
      <c r="CK1" s="19" t="s">
        <v>92</v>
      </c>
      <c r="CM1" s="20" t="s">
        <v>94</v>
      </c>
      <c r="CO1" s="20" t="s">
        <v>35</v>
      </c>
    </row>
    <row r="2" spans="1:93" x14ac:dyDescent="0.35">
      <c r="A2" s="1" t="s">
        <v>0</v>
      </c>
      <c r="B2" s="1" t="s">
        <v>81</v>
      </c>
      <c r="C2" s="1" t="s">
        <v>77</v>
      </c>
      <c r="D2" s="1" t="s">
        <v>106</v>
      </c>
      <c r="E2" s="1" t="s">
        <v>1</v>
      </c>
      <c r="F2" s="13"/>
      <c r="G2" s="1" t="s">
        <v>73</v>
      </c>
      <c r="H2" s="1" t="s">
        <v>74</v>
      </c>
      <c r="I2" s="1" t="s">
        <v>26</v>
      </c>
      <c r="J2" s="1" t="s">
        <v>25</v>
      </c>
      <c r="K2" s="1" t="s">
        <v>27</v>
      </c>
      <c r="L2" s="1" t="s">
        <v>68</v>
      </c>
      <c r="M2" s="1" t="s">
        <v>103</v>
      </c>
      <c r="N2" s="1" t="s">
        <v>102</v>
      </c>
      <c r="O2" s="1" t="s">
        <v>34</v>
      </c>
      <c r="P2" s="1" t="s">
        <v>28</v>
      </c>
      <c r="Q2" s="11" t="s">
        <v>124</v>
      </c>
      <c r="R2" s="11" t="s">
        <v>125</v>
      </c>
      <c r="S2" s="11" t="s">
        <v>126</v>
      </c>
      <c r="T2" s="15"/>
      <c r="U2" s="1" t="s">
        <v>73</v>
      </c>
      <c r="V2" s="1" t="s">
        <v>74</v>
      </c>
      <c r="W2" s="1" t="s">
        <v>26</v>
      </c>
      <c r="X2" s="1" t="s">
        <v>25</v>
      </c>
      <c r="Y2" s="1" t="s">
        <v>27</v>
      </c>
      <c r="Z2" s="1" t="s">
        <v>68</v>
      </c>
      <c r="AA2" s="1" t="s">
        <v>103</v>
      </c>
      <c r="AB2" s="1" t="s">
        <v>102</v>
      </c>
      <c r="AC2" s="1" t="s">
        <v>34</v>
      </c>
      <c r="AD2" s="1" t="s">
        <v>28</v>
      </c>
      <c r="AE2" s="11" t="s">
        <v>124</v>
      </c>
      <c r="AF2" s="11" t="s">
        <v>125</v>
      </c>
      <c r="AG2" s="11" t="s">
        <v>126</v>
      </c>
      <c r="AH2" s="9"/>
      <c r="AI2" s="1" t="s">
        <v>73</v>
      </c>
      <c r="AJ2" s="1" t="s">
        <v>74</v>
      </c>
      <c r="AK2" s="1" t="s">
        <v>26</v>
      </c>
      <c r="AL2" s="1" t="s">
        <v>25</v>
      </c>
      <c r="AM2" s="1" t="s">
        <v>27</v>
      </c>
      <c r="AN2" s="1" t="s">
        <v>68</v>
      </c>
      <c r="AO2" s="1" t="s">
        <v>103</v>
      </c>
      <c r="AP2" s="1" t="s">
        <v>102</v>
      </c>
      <c r="AQ2" s="1" t="s">
        <v>34</v>
      </c>
      <c r="AR2" s="1" t="s">
        <v>28</v>
      </c>
      <c r="AS2" s="11" t="s">
        <v>124</v>
      </c>
      <c r="AT2" s="11" t="s">
        <v>125</v>
      </c>
      <c r="AU2" s="11" t="s">
        <v>126</v>
      </c>
      <c r="AV2" s="9"/>
      <c r="AW2" s="1" t="s">
        <v>73</v>
      </c>
      <c r="AX2" s="1" t="s">
        <v>74</v>
      </c>
      <c r="AY2" s="1" t="s">
        <v>26</v>
      </c>
      <c r="AZ2" s="1" t="s">
        <v>25</v>
      </c>
      <c r="BA2" s="1" t="s">
        <v>27</v>
      </c>
      <c r="BB2" s="1" t="s">
        <v>68</v>
      </c>
      <c r="BC2" s="1" t="s">
        <v>103</v>
      </c>
      <c r="BD2" s="1" t="s">
        <v>102</v>
      </c>
      <c r="BE2" s="1" t="s">
        <v>34</v>
      </c>
      <c r="BF2" s="1" t="s">
        <v>28</v>
      </c>
      <c r="BG2" s="11" t="s">
        <v>124</v>
      </c>
      <c r="BH2" s="11" t="s">
        <v>125</v>
      </c>
      <c r="BI2" s="11" t="s">
        <v>126</v>
      </c>
      <c r="BJ2" s="9"/>
      <c r="BK2" s="1" t="s">
        <v>73</v>
      </c>
      <c r="BL2" s="1" t="s">
        <v>74</v>
      </c>
      <c r="BM2" s="1" t="s">
        <v>26</v>
      </c>
      <c r="BN2" s="1" t="s">
        <v>25</v>
      </c>
      <c r="BO2" s="1" t="s">
        <v>27</v>
      </c>
      <c r="BP2" s="1" t="s">
        <v>68</v>
      </c>
      <c r="BQ2" s="1" t="s">
        <v>103</v>
      </c>
      <c r="BR2" s="1" t="s">
        <v>102</v>
      </c>
      <c r="BS2" s="1" t="s">
        <v>34</v>
      </c>
      <c r="BT2" s="1" t="s">
        <v>28</v>
      </c>
      <c r="BU2" s="11" t="s">
        <v>124</v>
      </c>
      <c r="BV2" s="11" t="s">
        <v>125</v>
      </c>
      <c r="BW2" s="11" t="s">
        <v>126</v>
      </c>
      <c r="BY2" s="10" t="s">
        <v>76</v>
      </c>
      <c r="BZ2" s="10" t="s">
        <v>77</v>
      </c>
      <c r="CA2" s="10" t="s">
        <v>101</v>
      </c>
      <c r="CC2" s="11" t="s">
        <v>99</v>
      </c>
      <c r="CE2" s="11" t="s">
        <v>100</v>
      </c>
      <c r="CG2" s="11" t="s">
        <v>88</v>
      </c>
      <c r="CI2" s="11" t="s">
        <v>89</v>
      </c>
      <c r="CK2" s="11" t="s">
        <v>93</v>
      </c>
      <c r="CM2" s="11" t="s">
        <v>95</v>
      </c>
      <c r="CO2" s="11" t="s">
        <v>98</v>
      </c>
    </row>
    <row r="3" spans="1:93" x14ac:dyDescent="0.35">
      <c r="A3" s="3" t="s">
        <v>36</v>
      </c>
      <c r="B3" s="2" t="s">
        <v>144</v>
      </c>
      <c r="C3" s="2" t="s">
        <v>144</v>
      </c>
      <c r="D3" s="2" t="s">
        <v>107</v>
      </c>
      <c r="E3" s="2" t="s">
        <v>69</v>
      </c>
      <c r="F3" s="12"/>
      <c r="G3" s="14">
        <v>475</v>
      </c>
      <c r="H3" s="7">
        <v>475.01369999999997</v>
      </c>
      <c r="I3" s="3">
        <v>279.79016104296409</v>
      </c>
      <c r="J3" s="4">
        <f t="shared" ref="J3:J34" si="0">IFERROR(I3/H3,0)</f>
        <v>0.58901492955458778</v>
      </c>
      <c r="K3" s="3">
        <v>107620.37733721343</v>
      </c>
      <c r="L3" s="17">
        <v>57.333333333333336</v>
      </c>
      <c r="M3" s="17">
        <v>48863.646864686467</v>
      </c>
      <c r="N3" s="4">
        <v>0.59867986798679862</v>
      </c>
      <c r="O3" s="6">
        <v>4.6040609137055837</v>
      </c>
      <c r="P3" s="7">
        <v>4.3498168498168504</v>
      </c>
      <c r="Q3" s="31">
        <v>362.79999999999995</v>
      </c>
      <c r="R3" s="31">
        <v>243.20000000000002</v>
      </c>
      <c r="S3" s="31">
        <f>Q3+R3</f>
        <v>606</v>
      </c>
      <c r="T3" s="15"/>
      <c r="U3" s="7">
        <v>440</v>
      </c>
      <c r="V3" s="7">
        <v>440</v>
      </c>
      <c r="W3" s="3">
        <v>236.38224607799216</v>
      </c>
      <c r="X3" s="4">
        <f>IFERROR(W3/V3,0)</f>
        <v>0.5372323774499822</v>
      </c>
      <c r="Y3" s="3">
        <v>118382.41507093479</v>
      </c>
      <c r="Z3" s="17">
        <v>57.333333333333336</v>
      </c>
      <c r="AA3" s="17"/>
      <c r="AB3" s="17"/>
      <c r="AC3" s="3"/>
      <c r="AD3" s="7">
        <v>4.0293040293040301</v>
      </c>
      <c r="AE3" s="31"/>
      <c r="AF3" s="31"/>
      <c r="AG3" s="31"/>
      <c r="AH3" s="15"/>
      <c r="AI3" s="3">
        <v>330</v>
      </c>
      <c r="AJ3" s="3">
        <v>330</v>
      </c>
      <c r="AK3" s="3">
        <v>126.38224607799216</v>
      </c>
      <c r="AL3" s="4">
        <f>IFERROR(AK3/AJ3,0)</f>
        <v>0.3829765032666429</v>
      </c>
      <c r="AM3" s="3">
        <v>118382.41507093479</v>
      </c>
      <c r="AN3" s="17">
        <v>57.333333333333336</v>
      </c>
      <c r="AO3" s="17"/>
      <c r="AP3" s="17"/>
      <c r="AQ3" s="7"/>
      <c r="AR3" s="7">
        <v>3.0219780219780223</v>
      </c>
      <c r="AS3" s="31"/>
      <c r="AT3" s="31"/>
      <c r="AU3" s="31"/>
      <c r="AV3" s="15"/>
      <c r="AW3" s="17">
        <v>480</v>
      </c>
      <c r="AX3" s="17">
        <v>480</v>
      </c>
      <c r="AY3" s="17">
        <v>276.38224607799214</v>
      </c>
      <c r="AZ3" s="4">
        <v>0.57579634599581697</v>
      </c>
      <c r="BA3" s="3">
        <v>118382.41507093479</v>
      </c>
      <c r="BB3" s="17">
        <f>AN3</f>
        <v>57.333333333333336</v>
      </c>
      <c r="BC3" s="17"/>
      <c r="BD3" s="17"/>
      <c r="BE3" s="3"/>
      <c r="BF3" s="7">
        <v>4.395604395604396</v>
      </c>
      <c r="BG3" s="32"/>
      <c r="BH3" s="32"/>
      <c r="BI3" s="32"/>
      <c r="BJ3" s="9"/>
      <c r="BK3" s="17">
        <f t="shared" ref="BK3:BK34" si="1">U3+AI3+AW3+G3</f>
        <v>1725</v>
      </c>
      <c r="BL3" s="17">
        <f t="shared" ref="BL3:BL34" si="2">V3+AJ3+AX3+H3</f>
        <v>1725.0137</v>
      </c>
      <c r="BM3" s="17">
        <f t="shared" ref="BM3:BM34" si="3">W3+AK3+AY3+I3</f>
        <v>918.93689927694061</v>
      </c>
      <c r="BN3" s="4">
        <f>IFERROR(BM3/BL3,0)</f>
        <v>0.53271281223850031</v>
      </c>
      <c r="BO3" s="3">
        <f t="shared" ref="BO3:BO34" si="4">AVERAGE(K3,Y3,AM3,BA3)</f>
        <v>115691.90563750446</v>
      </c>
      <c r="BP3" s="7">
        <f t="shared" ref="BP3:BP34" si="5">AVERAGE(L3,Z3,AN3,BB3)</f>
        <v>57.333333333333336</v>
      </c>
      <c r="BQ3" s="3"/>
      <c r="BR3" s="3"/>
      <c r="BS3" s="7"/>
      <c r="BT3" s="7">
        <f>AVERAGE(P3,AD3,AR3,BF3)</f>
        <v>3.9491758241758244</v>
      </c>
      <c r="BU3" s="30"/>
      <c r="BV3" s="30"/>
      <c r="BW3" s="30"/>
      <c r="BY3" s="5" t="s">
        <v>90</v>
      </c>
      <c r="BZ3" s="5" t="s">
        <v>90</v>
      </c>
      <c r="CA3" s="5" t="s">
        <v>90</v>
      </c>
      <c r="CE3">
        <v>176.11369999999999</v>
      </c>
      <c r="CI3" s="5" t="s">
        <v>91</v>
      </c>
      <c r="CK3" t="s">
        <v>91</v>
      </c>
      <c r="CM3" s="5" t="s">
        <v>96</v>
      </c>
      <c r="CO3" t="s">
        <v>90</v>
      </c>
    </row>
    <row r="4" spans="1:93" x14ac:dyDescent="0.35">
      <c r="A4" s="3" t="s">
        <v>60</v>
      </c>
      <c r="B4" s="2" t="s">
        <v>144</v>
      </c>
      <c r="C4" s="3" t="s">
        <v>84</v>
      </c>
      <c r="D4" s="2" t="s">
        <v>107</v>
      </c>
      <c r="E4" s="3" t="s">
        <v>69</v>
      </c>
      <c r="F4" s="5"/>
      <c r="G4" s="14">
        <v>5</v>
      </c>
      <c r="H4" s="7">
        <v>12.5062</v>
      </c>
      <c r="I4" s="3">
        <v>1.5631762572050842</v>
      </c>
      <c r="J4" s="4">
        <f t="shared" si="0"/>
        <v>0.12499210449257843</v>
      </c>
      <c r="K4" s="3">
        <v>173405.52273207638</v>
      </c>
      <c r="L4" s="17">
        <v>2</v>
      </c>
      <c r="M4" s="17">
        <v>105624.44444444444</v>
      </c>
      <c r="N4" s="4">
        <v>0.33333333333333331</v>
      </c>
      <c r="O4" s="6" t="s">
        <v>123</v>
      </c>
      <c r="P4" s="7">
        <v>0</v>
      </c>
      <c r="Q4" s="31">
        <v>3</v>
      </c>
      <c r="R4" s="31">
        <v>6</v>
      </c>
      <c r="S4" s="31">
        <f t="shared" ref="S4:S63" si="6">Q4+R4</f>
        <v>9</v>
      </c>
      <c r="T4" s="15"/>
      <c r="U4" s="7">
        <v>5</v>
      </c>
      <c r="V4" s="7">
        <v>5</v>
      </c>
      <c r="W4" s="3">
        <v>-6.4447645003170422</v>
      </c>
      <c r="X4" s="4">
        <f t="shared" ref="X4:X63" si="7">IFERROR(W4/V4,0)</f>
        <v>-1.2889529000634083</v>
      </c>
      <c r="Y4" s="3">
        <v>190746.07500528404</v>
      </c>
      <c r="Z4" s="17">
        <v>2</v>
      </c>
      <c r="AA4" s="17"/>
      <c r="AB4" s="17"/>
      <c r="AC4" s="3"/>
      <c r="AD4" s="7">
        <v>0</v>
      </c>
      <c r="AE4" s="30"/>
      <c r="AF4" s="30"/>
      <c r="AG4" s="30"/>
      <c r="AI4" s="3">
        <v>5</v>
      </c>
      <c r="AJ4" s="3">
        <v>5</v>
      </c>
      <c r="AK4" s="3">
        <v>-6.4447645003170422</v>
      </c>
      <c r="AL4" s="4">
        <f t="shared" ref="AL4:AL63" si="8">IFERROR(AK4/AJ4,0)</f>
        <v>-1.2889529000634083</v>
      </c>
      <c r="AM4" s="3">
        <v>190746.07500528404</v>
      </c>
      <c r="AN4" s="17">
        <v>2</v>
      </c>
      <c r="AO4" s="17"/>
      <c r="AP4" s="17"/>
      <c r="AQ4" s="3"/>
      <c r="AR4" s="7">
        <v>0</v>
      </c>
      <c r="AS4" s="30"/>
      <c r="AT4" s="30"/>
      <c r="AU4" s="30"/>
      <c r="AW4" s="17">
        <v>5</v>
      </c>
      <c r="AX4" s="17">
        <v>5</v>
      </c>
      <c r="AY4" s="17">
        <v>-6.4447645003170422</v>
      </c>
      <c r="AZ4" s="4">
        <v>-1.2889529000634083</v>
      </c>
      <c r="BA4" s="3">
        <v>190746.07500528404</v>
      </c>
      <c r="BB4" s="17">
        <f t="shared" ref="BB4:BB60" si="9">AN4</f>
        <v>2</v>
      </c>
      <c r="BC4" s="17"/>
      <c r="BD4" s="17"/>
      <c r="BE4" s="3"/>
      <c r="BF4" s="7">
        <v>0</v>
      </c>
      <c r="BG4" s="30"/>
      <c r="BH4" s="30"/>
      <c r="BI4" s="30"/>
      <c r="BK4" s="17">
        <f t="shared" si="1"/>
        <v>20</v>
      </c>
      <c r="BL4" s="17">
        <f t="shared" si="2"/>
        <v>27.5062</v>
      </c>
      <c r="BM4" s="17">
        <f t="shared" si="3"/>
        <v>-17.771117243746041</v>
      </c>
      <c r="BN4" s="4">
        <f t="shared" ref="BN4:BN63" si="10">IFERROR(BM4/BL4,0)</f>
        <v>-0.6460767842794003</v>
      </c>
      <c r="BO4" s="3">
        <f t="shared" si="4"/>
        <v>186410.93693698212</v>
      </c>
      <c r="BP4" s="7">
        <f t="shared" si="5"/>
        <v>2</v>
      </c>
      <c r="BQ4" s="3"/>
      <c r="BR4" s="3"/>
      <c r="BS4" s="7"/>
      <c r="BT4" s="7">
        <f t="shared" ref="BT4:BT60" si="11">AVERAGE(P4,AD4,AR4,BF4)</f>
        <v>0</v>
      </c>
      <c r="BU4" s="30"/>
      <c r="BV4" s="30"/>
      <c r="BW4" s="30"/>
      <c r="BY4" s="5" t="s">
        <v>90</v>
      </c>
      <c r="BZ4" s="5" t="s">
        <v>90</v>
      </c>
      <c r="CA4" s="5" t="s">
        <v>90</v>
      </c>
      <c r="CC4" s="21"/>
      <c r="CE4">
        <v>7.25</v>
      </c>
      <c r="CI4" s="5" t="s">
        <v>91</v>
      </c>
      <c r="CK4" t="s">
        <v>91</v>
      </c>
      <c r="CM4" s="5" t="s">
        <v>96</v>
      </c>
      <c r="CO4" t="s">
        <v>91</v>
      </c>
    </row>
    <row r="5" spans="1:93" x14ac:dyDescent="0.35">
      <c r="A5" s="3" t="s">
        <v>7</v>
      </c>
      <c r="B5" s="3" t="s">
        <v>142</v>
      </c>
      <c r="C5" s="3" t="s">
        <v>83</v>
      </c>
      <c r="D5" s="25" t="s">
        <v>107</v>
      </c>
      <c r="E5" s="3" t="s">
        <v>2</v>
      </c>
      <c r="F5" s="5"/>
      <c r="G5" s="14">
        <v>24</v>
      </c>
      <c r="H5" s="7">
        <v>23.2546766</v>
      </c>
      <c r="I5" s="3">
        <v>7.1569220320198905</v>
      </c>
      <c r="J5" s="4">
        <f t="shared" si="0"/>
        <v>0.30776269888095931</v>
      </c>
      <c r="K5" s="3">
        <v>100967.52669613245</v>
      </c>
      <c r="L5" s="17">
        <v>4</v>
      </c>
      <c r="M5" s="17">
        <v>56832.353333333333</v>
      </c>
      <c r="N5" s="4">
        <v>0.66666666666666663</v>
      </c>
      <c r="O5" s="6">
        <v>2.75</v>
      </c>
      <c r="P5" s="7">
        <v>2.5332973999999999</v>
      </c>
      <c r="Q5" s="31">
        <v>22</v>
      </c>
      <c r="R5" s="31">
        <v>11</v>
      </c>
      <c r="S5" s="31">
        <f t="shared" si="6"/>
        <v>33</v>
      </c>
      <c r="T5" s="15"/>
      <c r="U5" s="7">
        <v>24</v>
      </c>
      <c r="V5" s="7">
        <v>24</v>
      </c>
      <c r="W5" s="3">
        <v>10.672286476110516</v>
      </c>
      <c r="X5" s="4">
        <f t="shared" si="7"/>
        <v>0.4446786031712715</v>
      </c>
      <c r="Y5" s="3">
        <v>111064.27936574571</v>
      </c>
      <c r="Z5" s="17">
        <v>4</v>
      </c>
      <c r="AA5" s="17"/>
      <c r="AB5" s="17"/>
      <c r="AC5" s="3"/>
      <c r="AD5" s="7">
        <v>2.6666666666666665</v>
      </c>
      <c r="AE5" s="30"/>
      <c r="AF5" s="30"/>
      <c r="AG5" s="30"/>
      <c r="AI5" s="3">
        <v>15</v>
      </c>
      <c r="AJ5" s="3">
        <v>15</v>
      </c>
      <c r="AK5" s="3">
        <v>1.6722864761105161</v>
      </c>
      <c r="AL5" s="4">
        <f t="shared" si="8"/>
        <v>0.1114857650740344</v>
      </c>
      <c r="AM5" s="3">
        <v>111064.27936574571</v>
      </c>
      <c r="AN5" s="17">
        <v>4</v>
      </c>
      <c r="AO5" s="17"/>
      <c r="AP5" s="17"/>
      <c r="AQ5" s="3"/>
      <c r="AR5" s="7">
        <v>1.6666666666666667</v>
      </c>
      <c r="AS5" s="30"/>
      <c r="AT5" s="30"/>
      <c r="AU5" s="30"/>
      <c r="AW5" s="17">
        <v>17</v>
      </c>
      <c r="AX5" s="17">
        <v>17</v>
      </c>
      <c r="AY5" s="17">
        <v>3.6722864761105161</v>
      </c>
      <c r="AZ5" s="4">
        <v>0.21601685153591271</v>
      </c>
      <c r="BA5" s="3">
        <v>111064.27936574571</v>
      </c>
      <c r="BB5" s="17">
        <f t="shared" si="9"/>
        <v>4</v>
      </c>
      <c r="BC5" s="17"/>
      <c r="BD5" s="17"/>
      <c r="BE5" s="3"/>
      <c r="BF5" s="7">
        <v>1.8888888888888888</v>
      </c>
      <c r="BG5" s="30"/>
      <c r="BH5" s="30"/>
      <c r="BI5" s="30"/>
      <c r="BK5" s="17">
        <f t="shared" si="1"/>
        <v>80</v>
      </c>
      <c r="BL5" s="17">
        <f t="shared" si="2"/>
        <v>79.254676599999996</v>
      </c>
      <c r="BM5" s="17">
        <f t="shared" si="3"/>
        <v>23.173781460351442</v>
      </c>
      <c r="BN5" s="4">
        <f t="shared" si="10"/>
        <v>0.29239639166417902</v>
      </c>
      <c r="BO5" s="3">
        <f t="shared" si="4"/>
        <v>108540.0911983424</v>
      </c>
      <c r="BP5" s="7">
        <f t="shared" si="5"/>
        <v>4</v>
      </c>
      <c r="BQ5" s="3"/>
      <c r="BR5" s="3"/>
      <c r="BS5" s="7"/>
      <c r="BT5" s="7">
        <f t="shared" si="11"/>
        <v>2.1888799055555554</v>
      </c>
      <c r="BU5" s="30"/>
      <c r="BV5" s="30"/>
      <c r="BW5" s="30"/>
      <c r="BY5" s="5" t="s">
        <v>90</v>
      </c>
      <c r="BZ5" s="5" t="s">
        <v>90</v>
      </c>
      <c r="CA5" s="5" t="s">
        <v>90</v>
      </c>
      <c r="CE5">
        <v>0</v>
      </c>
      <c r="CG5">
        <f>531000/100000</f>
        <v>5.31</v>
      </c>
      <c r="CI5" s="5" t="s">
        <v>91</v>
      </c>
      <c r="CK5" t="s">
        <v>91</v>
      </c>
      <c r="CM5" s="5" t="s">
        <v>105</v>
      </c>
      <c r="CO5" t="s">
        <v>91</v>
      </c>
    </row>
    <row r="6" spans="1:93" x14ac:dyDescent="0.35">
      <c r="A6" s="3" t="s">
        <v>37</v>
      </c>
      <c r="B6" s="3" t="s">
        <v>142</v>
      </c>
      <c r="C6" s="3" t="s">
        <v>127</v>
      </c>
      <c r="D6" s="25" t="s">
        <v>107</v>
      </c>
      <c r="E6" s="3" t="s">
        <v>85</v>
      </c>
      <c r="F6" s="5"/>
      <c r="G6" s="14">
        <v>56</v>
      </c>
      <c r="H6" s="7">
        <v>79.400000000000006</v>
      </c>
      <c r="I6" s="3">
        <v>25.327033433140731</v>
      </c>
      <c r="J6" s="4">
        <f t="shared" si="0"/>
        <v>0.31898026993880013</v>
      </c>
      <c r="K6" s="3">
        <v>110580.54850844618</v>
      </c>
      <c r="L6" s="17">
        <v>15.666666666666666</v>
      </c>
      <c r="M6" s="17">
        <v>88775.510204081627</v>
      </c>
      <c r="N6" s="4">
        <v>0.55102040816326525</v>
      </c>
      <c r="O6" s="6">
        <v>1.3202933985330074</v>
      </c>
      <c r="P6" s="7">
        <v>1.3417475728155339</v>
      </c>
      <c r="Q6" s="31">
        <v>27</v>
      </c>
      <c r="R6" s="31">
        <v>22</v>
      </c>
      <c r="S6" s="31">
        <f t="shared" si="6"/>
        <v>49</v>
      </c>
      <c r="T6" s="15"/>
      <c r="U6" s="7">
        <v>63</v>
      </c>
      <c r="V6" s="7">
        <v>63</v>
      </c>
      <c r="W6" s="3">
        <v>5.8298564211333144</v>
      </c>
      <c r="X6" s="4">
        <f t="shared" si="7"/>
        <v>9.2537403510052615E-2</v>
      </c>
      <c r="Y6" s="3">
        <v>121638.60335929081</v>
      </c>
      <c r="Z6" s="17">
        <v>15.666666666666666</v>
      </c>
      <c r="AA6" s="17"/>
      <c r="AB6" s="17"/>
      <c r="AC6" s="3"/>
      <c r="AD6" s="7">
        <v>2.0388349514563107</v>
      </c>
      <c r="AE6" s="30"/>
      <c r="AF6" s="30"/>
      <c r="AG6" s="30"/>
      <c r="AI6" s="3">
        <v>57</v>
      </c>
      <c r="AJ6" s="3">
        <v>57</v>
      </c>
      <c r="AK6" s="3">
        <v>-0.17014357886668563</v>
      </c>
      <c r="AL6" s="4">
        <f t="shared" si="8"/>
        <v>-2.98497506783659E-3</v>
      </c>
      <c r="AM6" s="3">
        <v>121638.60335929081</v>
      </c>
      <c r="AN6" s="17">
        <v>15.666666666666666</v>
      </c>
      <c r="AO6" s="17"/>
      <c r="AP6" s="17"/>
      <c r="AQ6" s="3"/>
      <c r="AR6" s="7">
        <v>1.8446601941747571</v>
      </c>
      <c r="AS6" s="30"/>
      <c r="AT6" s="30"/>
      <c r="AU6" s="30"/>
      <c r="AW6" s="17">
        <v>46</v>
      </c>
      <c r="AX6" s="17">
        <v>46</v>
      </c>
      <c r="AY6" s="17">
        <v>-11.170143578866686</v>
      </c>
      <c r="AZ6" s="4">
        <v>-0.2428292082362323</v>
      </c>
      <c r="BA6" s="3">
        <v>121638.60335929081</v>
      </c>
      <c r="BB6" s="17">
        <f t="shared" si="9"/>
        <v>15.666666666666666</v>
      </c>
      <c r="BC6" s="17"/>
      <c r="BD6" s="17"/>
      <c r="BE6" s="3"/>
      <c r="BF6" s="7">
        <v>1.4886731391585759</v>
      </c>
      <c r="BG6" s="30"/>
      <c r="BH6" s="30"/>
      <c r="BI6" s="30"/>
      <c r="BK6" s="17">
        <f t="shared" si="1"/>
        <v>222</v>
      </c>
      <c r="BL6" s="17">
        <f t="shared" si="2"/>
        <v>245.4</v>
      </c>
      <c r="BM6" s="17">
        <f t="shared" si="3"/>
        <v>19.816602696540674</v>
      </c>
      <c r="BN6" s="4">
        <f t="shared" si="10"/>
        <v>8.0752252227142107E-2</v>
      </c>
      <c r="BO6" s="3">
        <f t="shared" si="4"/>
        <v>118874.08964657965</v>
      </c>
      <c r="BP6" s="7">
        <f t="shared" si="5"/>
        <v>15.666666666666666</v>
      </c>
      <c r="BQ6" s="3"/>
      <c r="BR6" s="3"/>
      <c r="BS6" s="7"/>
      <c r="BT6" s="7">
        <f t="shared" si="11"/>
        <v>1.6784789644012943</v>
      </c>
      <c r="BU6" s="30"/>
      <c r="BV6" s="30"/>
      <c r="BW6" s="30"/>
      <c r="BY6" s="5" t="s">
        <v>90</v>
      </c>
      <c r="BZ6" s="5" t="s">
        <v>90</v>
      </c>
      <c r="CA6" s="5" t="s">
        <v>90</v>
      </c>
      <c r="CC6" s="21">
        <f>5066901/100000</f>
        <v>50.66901</v>
      </c>
      <c r="CE6">
        <v>43.5</v>
      </c>
      <c r="CG6">
        <f>690300/100000</f>
        <v>6.9029999999999996</v>
      </c>
      <c r="CI6" s="5" t="s">
        <v>91</v>
      </c>
      <c r="CK6" t="s">
        <v>91</v>
      </c>
      <c r="CM6" s="5" t="s">
        <v>96</v>
      </c>
      <c r="CO6" t="s">
        <v>91</v>
      </c>
    </row>
    <row r="7" spans="1:93" x14ac:dyDescent="0.35">
      <c r="A7" s="3" t="s">
        <v>38</v>
      </c>
      <c r="B7" s="3" t="s">
        <v>146</v>
      </c>
      <c r="C7" s="3" t="s">
        <v>151</v>
      </c>
      <c r="D7" s="2" t="s">
        <v>107</v>
      </c>
      <c r="E7" s="3" t="s">
        <v>70</v>
      </c>
      <c r="F7" s="5"/>
      <c r="G7" s="14">
        <v>28.499999999999996</v>
      </c>
      <c r="H7" s="7">
        <v>19.088500000000003</v>
      </c>
      <c r="I7" s="3">
        <v>-10.035000578189329</v>
      </c>
      <c r="J7" s="4">
        <f t="shared" si="0"/>
        <v>-0.52570922692664834</v>
      </c>
      <c r="K7" s="3">
        <v>101311.4009425254</v>
      </c>
      <c r="L7" s="17">
        <v>6</v>
      </c>
      <c r="M7" s="17">
        <v>46878.846153846163</v>
      </c>
      <c r="N7" s="4">
        <v>0.76923076923076927</v>
      </c>
      <c r="O7" s="6">
        <v>1.6666666666666667</v>
      </c>
      <c r="P7" s="7">
        <v>1.2745666666666666</v>
      </c>
      <c r="Q7" s="31">
        <v>20</v>
      </c>
      <c r="R7" s="31">
        <v>6</v>
      </c>
      <c r="S7" s="31">
        <f t="shared" si="6"/>
        <v>26</v>
      </c>
      <c r="T7" s="15"/>
      <c r="U7" s="7">
        <v>27.4</v>
      </c>
      <c r="V7" s="7">
        <v>19.09</v>
      </c>
      <c r="W7" s="3">
        <v>-0.96965738662003176</v>
      </c>
      <c r="X7" s="4">
        <f t="shared" si="7"/>
        <v>-5.0793996156104339E-2</v>
      </c>
      <c r="Y7" s="3">
        <v>111442.54103677796</v>
      </c>
      <c r="Z7" s="17">
        <v>6</v>
      </c>
      <c r="AA7" s="17"/>
      <c r="AB7" s="17"/>
      <c r="AC7" s="3"/>
      <c r="AD7" s="7">
        <v>1.8266666666666667</v>
      </c>
      <c r="AE7" s="30"/>
      <c r="AF7" s="30"/>
      <c r="AG7" s="30"/>
      <c r="AI7" s="3">
        <v>31.5</v>
      </c>
      <c r="AJ7" s="3">
        <v>31.5</v>
      </c>
      <c r="AK7" s="3">
        <v>11.440342613379968</v>
      </c>
      <c r="AL7" s="4">
        <f t="shared" si="8"/>
        <v>0.36318547978984028</v>
      </c>
      <c r="AM7" s="3">
        <v>111442.54103677796</v>
      </c>
      <c r="AN7" s="17">
        <v>6</v>
      </c>
      <c r="AO7" s="17"/>
      <c r="AP7" s="17"/>
      <c r="AQ7" s="3"/>
      <c r="AR7" s="7">
        <v>2.1</v>
      </c>
      <c r="AS7" s="30"/>
      <c r="AT7" s="30"/>
      <c r="AU7" s="30"/>
      <c r="AW7" s="17">
        <v>35.700000000000003</v>
      </c>
      <c r="AX7" s="17">
        <v>35.700000000000003</v>
      </c>
      <c r="AY7" s="17">
        <v>15.640342613379971</v>
      </c>
      <c r="AZ7" s="4">
        <v>0.43810483510868264</v>
      </c>
      <c r="BA7" s="3">
        <v>111442.54103677796</v>
      </c>
      <c r="BB7" s="17">
        <f t="shared" si="9"/>
        <v>6</v>
      </c>
      <c r="BC7" s="17"/>
      <c r="BD7" s="17"/>
      <c r="BE7" s="3"/>
      <c r="BF7" s="7">
        <v>2.3800000000000003</v>
      </c>
      <c r="BG7" s="30"/>
      <c r="BH7" s="30"/>
      <c r="BI7" s="30"/>
      <c r="BK7" s="17">
        <f t="shared" si="1"/>
        <v>123.1</v>
      </c>
      <c r="BL7" s="17">
        <f t="shared" si="2"/>
        <v>105.3785</v>
      </c>
      <c r="BM7" s="17">
        <f t="shared" si="3"/>
        <v>16.076027261950578</v>
      </c>
      <c r="BN7" s="4">
        <f t="shared" si="10"/>
        <v>0.15255509674127624</v>
      </c>
      <c r="BO7" s="3">
        <f t="shared" si="4"/>
        <v>108909.75601321482</v>
      </c>
      <c r="BP7" s="7">
        <f t="shared" si="5"/>
        <v>6</v>
      </c>
      <c r="BQ7" s="3"/>
      <c r="BR7" s="3"/>
      <c r="BS7" s="7"/>
      <c r="BT7" s="7">
        <f t="shared" si="11"/>
        <v>1.8953083333333334</v>
      </c>
      <c r="BU7" s="30"/>
      <c r="BV7" s="30"/>
      <c r="BW7" s="30"/>
      <c r="BY7" s="5" t="s">
        <v>90</v>
      </c>
      <c r="BZ7" s="5" t="s">
        <v>90</v>
      </c>
      <c r="CA7" s="5" t="s">
        <v>90</v>
      </c>
      <c r="CC7" s="21">
        <f>136750/100000</f>
        <v>1.3674999999999999</v>
      </c>
      <c r="CE7">
        <v>9.8435000000000006</v>
      </c>
      <c r="CI7" s="5" t="s">
        <v>91</v>
      </c>
      <c r="CK7" t="s">
        <v>91</v>
      </c>
      <c r="CM7" s="5" t="s">
        <v>96</v>
      </c>
      <c r="CO7" t="s">
        <v>91</v>
      </c>
    </row>
    <row r="8" spans="1:93" x14ac:dyDescent="0.35">
      <c r="A8" s="3" t="s">
        <v>39</v>
      </c>
      <c r="B8" s="3" t="s">
        <v>142</v>
      </c>
      <c r="C8" s="3" t="s">
        <v>127</v>
      </c>
      <c r="D8" s="25" t="s">
        <v>107</v>
      </c>
      <c r="E8" s="3" t="s">
        <v>85</v>
      </c>
      <c r="F8" s="5"/>
      <c r="G8" s="14">
        <v>33</v>
      </c>
      <c r="H8" s="7">
        <v>38.252499999999998</v>
      </c>
      <c r="I8" s="3">
        <v>14.320899955559089</v>
      </c>
      <c r="J8" s="4">
        <f t="shared" si="0"/>
        <v>0.37437814405748876</v>
      </c>
      <c r="K8" s="3">
        <v>101000</v>
      </c>
      <c r="L8" s="17">
        <v>8.1666666666666661</v>
      </c>
      <c r="M8" s="17">
        <v>34939.102564102563</v>
      </c>
      <c r="N8" s="4">
        <v>0.64102564102564108</v>
      </c>
      <c r="O8" s="6">
        <v>3.125</v>
      </c>
      <c r="P8" s="7">
        <v>1.2146874999999999</v>
      </c>
      <c r="Q8" s="31">
        <v>50</v>
      </c>
      <c r="R8" s="31">
        <v>28</v>
      </c>
      <c r="S8" s="31">
        <f t="shared" si="6"/>
        <v>78</v>
      </c>
      <c r="T8" s="15"/>
      <c r="U8" s="7">
        <v>34.5</v>
      </c>
      <c r="V8" s="7">
        <v>34.5</v>
      </c>
      <c r="W8" s="3">
        <v>7.2804999999999964</v>
      </c>
      <c r="X8" s="4">
        <f t="shared" si="7"/>
        <v>0.21102898550724628</v>
      </c>
      <c r="Y8" s="3">
        <v>111100.00000000001</v>
      </c>
      <c r="Z8" s="17">
        <v>8.1666666666666661</v>
      </c>
      <c r="AA8" s="17"/>
      <c r="AB8" s="17"/>
      <c r="AC8" s="3"/>
      <c r="AD8" s="7">
        <v>1.4375</v>
      </c>
      <c r="AE8" s="30"/>
      <c r="AF8" s="30"/>
      <c r="AG8" s="30"/>
      <c r="AI8" s="3">
        <v>30.6</v>
      </c>
      <c r="AJ8" s="3">
        <v>30.6</v>
      </c>
      <c r="AK8" s="3">
        <v>3.3804999999999978</v>
      </c>
      <c r="AL8" s="4">
        <f t="shared" si="8"/>
        <v>0.11047385620915025</v>
      </c>
      <c r="AM8" s="3">
        <v>111100.00000000001</v>
      </c>
      <c r="AN8" s="17">
        <v>8.1666666666666661</v>
      </c>
      <c r="AO8" s="17"/>
      <c r="AP8" s="17"/>
      <c r="AQ8" s="3"/>
      <c r="AR8" s="7">
        <v>1.2750000000000001</v>
      </c>
      <c r="AS8" s="30"/>
      <c r="AT8" s="30"/>
      <c r="AU8" s="30"/>
      <c r="AW8" s="17">
        <v>36.6</v>
      </c>
      <c r="AX8" s="17">
        <v>36.6</v>
      </c>
      <c r="AY8" s="17">
        <v>9.3804999999999978</v>
      </c>
      <c r="AZ8" s="4">
        <v>0.25629781420765019</v>
      </c>
      <c r="BA8" s="3">
        <v>111100.00000000001</v>
      </c>
      <c r="BB8" s="17">
        <f t="shared" si="9"/>
        <v>8.1666666666666661</v>
      </c>
      <c r="BC8" s="17"/>
      <c r="BD8" s="17"/>
      <c r="BE8" s="3"/>
      <c r="BF8" s="7">
        <v>1.5250000000000001</v>
      </c>
      <c r="BG8" s="30"/>
      <c r="BH8" s="30"/>
      <c r="BI8" s="30"/>
      <c r="BK8" s="17">
        <f t="shared" si="1"/>
        <v>134.69999999999999</v>
      </c>
      <c r="BL8" s="17">
        <f t="shared" si="2"/>
        <v>139.95249999999999</v>
      </c>
      <c r="BM8" s="17">
        <f t="shared" si="3"/>
        <v>34.362399955559084</v>
      </c>
      <c r="BN8" s="4">
        <f t="shared" si="10"/>
        <v>0.24552901845668415</v>
      </c>
      <c r="BO8" s="3">
        <f t="shared" si="4"/>
        <v>108575</v>
      </c>
      <c r="BP8" s="7">
        <f t="shared" si="5"/>
        <v>8.1666666666666661</v>
      </c>
      <c r="BQ8" s="3"/>
      <c r="BR8" s="3"/>
      <c r="BS8" s="7"/>
      <c r="BT8" s="7">
        <f t="shared" si="11"/>
        <v>1.3630468750000002</v>
      </c>
      <c r="BU8" s="30"/>
      <c r="BV8" s="30"/>
      <c r="BW8" s="30"/>
      <c r="BY8" s="5" t="s">
        <v>90</v>
      </c>
      <c r="BZ8" s="5" t="s">
        <v>90</v>
      </c>
      <c r="CA8" s="5" t="s">
        <v>90</v>
      </c>
      <c r="CC8" s="21"/>
      <c r="CE8">
        <v>2.0002599999999999</v>
      </c>
      <c r="CI8" s="5" t="s">
        <v>91</v>
      </c>
      <c r="CK8" t="s">
        <v>91</v>
      </c>
      <c r="CM8" s="5" t="s">
        <v>104</v>
      </c>
      <c r="CO8" t="s">
        <v>91</v>
      </c>
    </row>
    <row r="9" spans="1:93" x14ac:dyDescent="0.35">
      <c r="A9" s="3" t="s">
        <v>8</v>
      </c>
      <c r="B9" s="3" t="s">
        <v>142</v>
      </c>
      <c r="C9" s="3" t="s">
        <v>83</v>
      </c>
      <c r="D9" s="25" t="s">
        <v>107</v>
      </c>
      <c r="E9" s="3" t="s">
        <v>2</v>
      </c>
      <c r="F9" s="5"/>
      <c r="G9" s="14">
        <v>51.75</v>
      </c>
      <c r="H9" s="7">
        <v>25.22</v>
      </c>
      <c r="I9" s="3">
        <v>-4.8737981201329656</v>
      </c>
      <c r="J9" s="4">
        <f t="shared" si="0"/>
        <v>-0.19325131324872982</v>
      </c>
      <c r="K9" s="3">
        <v>80180.641691213954</v>
      </c>
      <c r="L9" s="17">
        <v>10.666666666666666</v>
      </c>
      <c r="M9" s="17">
        <v>27915.254237288136</v>
      </c>
      <c r="N9" s="4">
        <v>0.52542372881355937</v>
      </c>
      <c r="O9" s="6">
        <v>1.55</v>
      </c>
      <c r="P9" s="7">
        <v>0.83599999999999997</v>
      </c>
      <c r="Q9" s="31">
        <v>31</v>
      </c>
      <c r="R9" s="31">
        <v>28</v>
      </c>
      <c r="S9" s="31">
        <f t="shared" si="6"/>
        <v>59</v>
      </c>
      <c r="T9" s="15"/>
      <c r="U9" s="7">
        <v>45.5</v>
      </c>
      <c r="V9" s="7">
        <v>42.75</v>
      </c>
      <c r="W9" s="3">
        <v>17.276414124692689</v>
      </c>
      <c r="X9" s="4">
        <f t="shared" si="7"/>
        <v>0.40412664619164185</v>
      </c>
      <c r="Y9" s="3">
        <v>88198.705860335351</v>
      </c>
      <c r="Z9" s="17">
        <v>10.666666666666666</v>
      </c>
      <c r="AA9" s="17"/>
      <c r="AB9" s="17"/>
      <c r="AC9" s="3"/>
      <c r="AD9" s="7">
        <v>1.5166666666666666</v>
      </c>
      <c r="AE9" s="30"/>
      <c r="AF9" s="30"/>
      <c r="AG9" s="30"/>
      <c r="AI9" s="3">
        <v>48</v>
      </c>
      <c r="AJ9" s="3">
        <v>48</v>
      </c>
      <c r="AK9" s="3">
        <v>19.776414124692689</v>
      </c>
      <c r="AL9" s="4">
        <f t="shared" si="8"/>
        <v>0.41200862759776435</v>
      </c>
      <c r="AM9" s="3">
        <v>88198.705860335351</v>
      </c>
      <c r="AN9" s="17">
        <v>10.666666666666666</v>
      </c>
      <c r="AO9" s="17"/>
      <c r="AP9" s="17"/>
      <c r="AQ9" s="3"/>
      <c r="AR9" s="7">
        <v>1.6</v>
      </c>
      <c r="AS9" s="30"/>
      <c r="AT9" s="30"/>
      <c r="AU9" s="30"/>
      <c r="AW9" s="17">
        <v>50.5</v>
      </c>
      <c r="AX9" s="17">
        <v>50.5</v>
      </c>
      <c r="AY9" s="17">
        <v>22.276414124692689</v>
      </c>
      <c r="AZ9" s="4">
        <v>0.44111711138005327</v>
      </c>
      <c r="BA9" s="3">
        <v>88198.705860335351</v>
      </c>
      <c r="BB9" s="17">
        <f t="shared" si="9"/>
        <v>10.666666666666666</v>
      </c>
      <c r="BC9" s="17"/>
      <c r="BD9" s="17"/>
      <c r="BE9" s="3"/>
      <c r="BF9" s="7">
        <v>1.6833333333333333</v>
      </c>
      <c r="BG9" s="30"/>
      <c r="BH9" s="30"/>
      <c r="BI9" s="30"/>
      <c r="BK9" s="17">
        <f t="shared" si="1"/>
        <v>195.75</v>
      </c>
      <c r="BL9" s="17">
        <f t="shared" si="2"/>
        <v>166.47</v>
      </c>
      <c r="BM9" s="17">
        <f t="shared" si="3"/>
        <v>54.455444253945096</v>
      </c>
      <c r="BN9" s="4">
        <f t="shared" si="10"/>
        <v>0.32711866554901842</v>
      </c>
      <c r="BO9" s="3">
        <f t="shared" si="4"/>
        <v>86194.189818055005</v>
      </c>
      <c r="BP9" s="7">
        <f t="shared" si="5"/>
        <v>10.666666666666666</v>
      </c>
      <c r="BQ9" s="3"/>
      <c r="BR9" s="3"/>
      <c r="BS9" s="7"/>
      <c r="BT9" s="7">
        <f t="shared" si="11"/>
        <v>1.409</v>
      </c>
      <c r="BU9" s="30"/>
      <c r="BV9" s="30"/>
      <c r="BW9" s="30"/>
      <c r="BY9" s="5" t="s">
        <v>90</v>
      </c>
      <c r="BZ9" s="5" t="s">
        <v>90</v>
      </c>
      <c r="CA9" s="5" t="s">
        <v>90</v>
      </c>
      <c r="CC9" s="21"/>
      <c r="CE9">
        <v>9.64</v>
      </c>
      <c r="CG9">
        <f>2553800/100000</f>
        <v>25.538</v>
      </c>
      <c r="CI9" s="5" t="s">
        <v>91</v>
      </c>
      <c r="CK9" t="s">
        <v>91</v>
      </c>
      <c r="CM9" s="5" t="s">
        <v>105</v>
      </c>
      <c r="CO9" t="s">
        <v>91</v>
      </c>
    </row>
    <row r="10" spans="1:93" x14ac:dyDescent="0.35">
      <c r="A10" s="3" t="s">
        <v>4</v>
      </c>
      <c r="B10" s="3" t="s">
        <v>142</v>
      </c>
      <c r="C10" s="3" t="s">
        <v>83</v>
      </c>
      <c r="D10" s="25" t="s">
        <v>107</v>
      </c>
      <c r="E10" s="3" t="s">
        <v>2</v>
      </c>
      <c r="F10" s="5"/>
      <c r="G10" s="14">
        <v>10</v>
      </c>
      <c r="H10" s="7">
        <v>11.020519100000001</v>
      </c>
      <c r="I10" s="3">
        <v>3.052117688979787</v>
      </c>
      <c r="J10" s="4">
        <f t="shared" si="0"/>
        <v>0.27694863202766795</v>
      </c>
      <c r="K10" s="3">
        <v>105409.9872037921</v>
      </c>
      <c r="L10" s="17">
        <v>2</v>
      </c>
      <c r="M10" s="17">
        <v>47779.532142857148</v>
      </c>
      <c r="N10" s="4">
        <v>0.5</v>
      </c>
      <c r="O10" s="6">
        <v>3.5</v>
      </c>
      <c r="P10" s="7">
        <v>1.6284562999999999</v>
      </c>
      <c r="Q10" s="31">
        <v>7</v>
      </c>
      <c r="R10" s="31">
        <v>7</v>
      </c>
      <c r="S10" s="31">
        <f t="shared" si="6"/>
        <v>14</v>
      </c>
      <c r="T10" s="15"/>
      <c r="U10" s="7">
        <v>12</v>
      </c>
      <c r="V10" s="7">
        <v>11.21</v>
      </c>
      <c r="W10" s="3">
        <v>5.0429408445497206</v>
      </c>
      <c r="X10" s="4">
        <f t="shared" si="7"/>
        <v>0.4498609138759786</v>
      </c>
      <c r="Y10" s="3">
        <v>115950.98592417133</v>
      </c>
      <c r="Z10" s="17">
        <v>2</v>
      </c>
      <c r="AA10" s="17"/>
      <c r="AB10" s="17"/>
      <c r="AC10" s="3"/>
      <c r="AD10" s="7">
        <v>2</v>
      </c>
      <c r="AE10" s="30"/>
      <c r="AF10" s="30"/>
      <c r="AG10" s="30"/>
      <c r="AI10" s="3">
        <v>13</v>
      </c>
      <c r="AJ10" s="3">
        <v>13</v>
      </c>
      <c r="AK10" s="3">
        <v>6.0429408445497206</v>
      </c>
      <c r="AL10" s="4">
        <f t="shared" si="8"/>
        <v>0.46484160342690156</v>
      </c>
      <c r="AM10" s="3">
        <v>115950.98592417133</v>
      </c>
      <c r="AN10" s="17">
        <v>2</v>
      </c>
      <c r="AO10" s="17"/>
      <c r="AP10" s="17"/>
      <c r="AQ10" s="3"/>
      <c r="AR10" s="7">
        <v>2.1666666666666665</v>
      </c>
      <c r="AS10" s="30"/>
      <c r="AT10" s="30"/>
      <c r="AU10" s="30"/>
      <c r="AW10" s="17">
        <v>13</v>
      </c>
      <c r="AX10" s="17">
        <v>13</v>
      </c>
      <c r="AY10" s="17">
        <v>6.0429408445497206</v>
      </c>
      <c r="AZ10" s="4">
        <v>0.46484160342690156</v>
      </c>
      <c r="BA10" s="3">
        <v>115950.98592417133</v>
      </c>
      <c r="BB10" s="17">
        <f t="shared" si="9"/>
        <v>2</v>
      </c>
      <c r="BC10" s="17"/>
      <c r="BD10" s="17"/>
      <c r="BE10" s="3"/>
      <c r="BF10" s="7">
        <v>2.1666666666666665</v>
      </c>
      <c r="BG10" s="30"/>
      <c r="BH10" s="30"/>
      <c r="BI10" s="30"/>
      <c r="BK10" s="17">
        <f t="shared" si="1"/>
        <v>48</v>
      </c>
      <c r="BL10" s="17">
        <f t="shared" si="2"/>
        <v>48.230519100000002</v>
      </c>
      <c r="BM10" s="17">
        <f t="shared" si="3"/>
        <v>20.180940222628951</v>
      </c>
      <c r="BN10" s="4">
        <f t="shared" si="10"/>
        <v>0.41842676793061823</v>
      </c>
      <c r="BO10" s="3">
        <f t="shared" si="4"/>
        <v>113315.73624407653</v>
      </c>
      <c r="BP10" s="7">
        <f t="shared" si="5"/>
        <v>2</v>
      </c>
      <c r="BQ10" s="3"/>
      <c r="BR10" s="3"/>
      <c r="BS10" s="7"/>
      <c r="BT10" s="7">
        <f t="shared" si="11"/>
        <v>1.990447408333333</v>
      </c>
      <c r="BU10" s="30"/>
      <c r="BV10" s="30"/>
      <c r="BW10" s="30"/>
      <c r="BY10" s="5" t="s">
        <v>90</v>
      </c>
      <c r="BZ10" s="5" t="s">
        <v>90</v>
      </c>
      <c r="CA10" s="5" t="s">
        <v>90</v>
      </c>
      <c r="CC10" s="21"/>
      <c r="CE10">
        <v>3.9612145000000005</v>
      </c>
      <c r="CG10">
        <f>31266/100000</f>
        <v>0.31265999999999999</v>
      </c>
      <c r="CI10" s="5" t="s">
        <v>91</v>
      </c>
      <c r="CK10" t="s">
        <v>91</v>
      </c>
      <c r="CM10" s="5" t="s">
        <v>105</v>
      </c>
      <c r="CO10" t="s">
        <v>91</v>
      </c>
    </row>
    <row r="11" spans="1:93" x14ac:dyDescent="0.35">
      <c r="A11" s="3" t="s">
        <v>9</v>
      </c>
      <c r="B11" s="3" t="s">
        <v>142</v>
      </c>
      <c r="C11" s="3" t="s">
        <v>83</v>
      </c>
      <c r="D11" s="25" t="s">
        <v>107</v>
      </c>
      <c r="E11" s="3" t="s">
        <v>2</v>
      </c>
      <c r="F11" s="5"/>
      <c r="G11" s="14">
        <v>51.5</v>
      </c>
      <c r="H11" s="7">
        <v>32.849999999999994</v>
      </c>
      <c r="I11" s="3">
        <v>1.5783377793579629</v>
      </c>
      <c r="J11" s="4">
        <f t="shared" si="0"/>
        <v>4.8046812157015624E-2</v>
      </c>
      <c r="K11" s="3">
        <v>92529.711095863735</v>
      </c>
      <c r="L11" s="17">
        <v>8.6666666666666661</v>
      </c>
      <c r="M11" s="17">
        <v>24477.777777777774</v>
      </c>
      <c r="N11" s="4">
        <v>0.43333333333333335</v>
      </c>
      <c r="O11" s="6">
        <v>1.95</v>
      </c>
      <c r="P11" s="7">
        <v>1.8106666666666664</v>
      </c>
      <c r="Q11" s="31">
        <v>39</v>
      </c>
      <c r="R11" s="31">
        <v>51</v>
      </c>
      <c r="S11" s="31">
        <f t="shared" si="6"/>
        <v>90</v>
      </c>
      <c r="T11" s="15"/>
      <c r="U11" s="7">
        <v>47.199999999999996</v>
      </c>
      <c r="V11" s="7">
        <v>40.6</v>
      </c>
      <c r="W11" s="3">
        <v>20.736502626582965</v>
      </c>
      <c r="X11" s="4">
        <f t="shared" si="7"/>
        <v>0.51075129622125526</v>
      </c>
      <c r="Y11" s="3">
        <v>101782.68220545011</v>
      </c>
      <c r="Z11" s="17">
        <v>8.6666666666666661</v>
      </c>
      <c r="AA11" s="17"/>
      <c r="AB11" s="17"/>
      <c r="AC11" s="3"/>
      <c r="AD11" s="7">
        <v>2.0977777777777775</v>
      </c>
      <c r="AE11" s="30"/>
      <c r="AF11" s="30"/>
      <c r="AG11" s="30"/>
      <c r="AI11" s="3">
        <v>49.800000000000004</v>
      </c>
      <c r="AJ11" s="3">
        <v>49.800000000000004</v>
      </c>
      <c r="AK11" s="3">
        <v>23.336502626582973</v>
      </c>
      <c r="AL11" s="4">
        <f t="shared" si="8"/>
        <v>0.46860447041331266</v>
      </c>
      <c r="AM11" s="3">
        <v>101782.68220545011</v>
      </c>
      <c r="AN11" s="17">
        <v>8.6666666666666661</v>
      </c>
      <c r="AO11" s="17"/>
      <c r="AP11" s="17"/>
      <c r="AQ11" s="3"/>
      <c r="AR11" s="7">
        <v>2.2133333333333334</v>
      </c>
      <c r="AS11" s="30"/>
      <c r="AT11" s="30"/>
      <c r="AU11" s="30"/>
      <c r="AW11" s="17">
        <v>46.6</v>
      </c>
      <c r="AX11" s="17">
        <v>46.6</v>
      </c>
      <c r="AY11" s="17">
        <v>20.136502626582971</v>
      </c>
      <c r="AZ11" s="4">
        <v>0.43211379027002084</v>
      </c>
      <c r="BA11" s="3">
        <v>101782.68220545011</v>
      </c>
      <c r="BB11" s="17">
        <f t="shared" si="9"/>
        <v>8.6666666666666661</v>
      </c>
      <c r="BC11" s="17"/>
      <c r="BD11" s="17"/>
      <c r="BE11" s="3"/>
      <c r="BF11" s="7">
        <v>2.0711111111111111</v>
      </c>
      <c r="BG11" s="30"/>
      <c r="BH11" s="30"/>
      <c r="BI11" s="30"/>
      <c r="BK11" s="17">
        <f t="shared" si="1"/>
        <v>195.1</v>
      </c>
      <c r="BL11" s="17">
        <f t="shared" si="2"/>
        <v>169.85</v>
      </c>
      <c r="BM11" s="17">
        <f t="shared" si="3"/>
        <v>65.787845659106878</v>
      </c>
      <c r="BN11" s="4">
        <f t="shared" si="10"/>
        <v>0.38732908836683472</v>
      </c>
      <c r="BO11" s="3">
        <f t="shared" si="4"/>
        <v>99469.439428053534</v>
      </c>
      <c r="BP11" s="7">
        <f t="shared" si="5"/>
        <v>8.6666666666666661</v>
      </c>
      <c r="BQ11" s="3"/>
      <c r="BR11" s="3"/>
      <c r="BS11" s="7"/>
      <c r="BT11" s="7">
        <f t="shared" si="11"/>
        <v>2.0482222222222224</v>
      </c>
      <c r="BU11" s="30"/>
      <c r="BV11" s="30"/>
      <c r="BW11" s="30"/>
      <c r="BY11" s="5" t="s">
        <v>90</v>
      </c>
      <c r="BZ11" s="5" t="s">
        <v>90</v>
      </c>
      <c r="CA11" s="5" t="s">
        <v>90</v>
      </c>
      <c r="CC11" s="21"/>
      <c r="CE11">
        <v>14.475</v>
      </c>
      <c r="CI11" s="5" t="s">
        <v>91</v>
      </c>
      <c r="CK11" t="s">
        <v>90</v>
      </c>
      <c r="CM11" s="5" t="s">
        <v>97</v>
      </c>
      <c r="CO11" t="s">
        <v>91</v>
      </c>
    </row>
    <row r="12" spans="1:93" x14ac:dyDescent="0.35">
      <c r="A12" s="3" t="s">
        <v>40</v>
      </c>
      <c r="B12" s="3" t="s">
        <v>145</v>
      </c>
      <c r="C12" s="3" t="s">
        <v>145</v>
      </c>
      <c r="D12" s="2" t="s">
        <v>107</v>
      </c>
      <c r="E12" s="3" t="s">
        <v>71</v>
      </c>
      <c r="F12" s="5"/>
      <c r="G12" s="14">
        <v>329.30417599999998</v>
      </c>
      <c r="H12" s="7">
        <v>470.56917999999996</v>
      </c>
      <c r="I12" s="3">
        <v>246.70418764301891</v>
      </c>
      <c r="J12" s="4">
        <f t="shared" si="0"/>
        <v>0.52426762764832779</v>
      </c>
      <c r="K12" s="3">
        <v>139210.95651634005</v>
      </c>
      <c r="L12" s="17">
        <v>56.4</v>
      </c>
      <c r="M12" s="17">
        <v>58108.395017793591</v>
      </c>
      <c r="N12" s="4">
        <v>0.75266903914590744</v>
      </c>
      <c r="O12" s="6">
        <v>5.4370179948586124</v>
      </c>
      <c r="P12" s="7">
        <v>3.8186813186813189</v>
      </c>
      <c r="Q12" s="31">
        <v>423</v>
      </c>
      <c r="R12" s="31">
        <v>139</v>
      </c>
      <c r="S12" s="31">
        <f t="shared" si="6"/>
        <v>562</v>
      </c>
      <c r="T12" s="15"/>
      <c r="U12" s="7">
        <v>392.27188129999996</v>
      </c>
      <c r="V12" s="7">
        <v>390</v>
      </c>
      <c r="W12" s="3">
        <v>78.900567731787874</v>
      </c>
      <c r="X12" s="4">
        <f t="shared" si="7"/>
        <v>0.20230914803022532</v>
      </c>
      <c r="Y12" s="3">
        <v>153132.05216797406</v>
      </c>
      <c r="Z12" s="17">
        <v>56.4</v>
      </c>
      <c r="AA12" s="17"/>
      <c r="AB12" s="17"/>
      <c r="AC12" s="3"/>
      <c r="AD12" s="7">
        <v>3.5922333452380952</v>
      </c>
      <c r="AE12" s="30"/>
      <c r="AF12" s="30"/>
      <c r="AG12" s="30"/>
      <c r="AI12" s="3">
        <v>329.57126269999998</v>
      </c>
      <c r="AJ12" s="3">
        <v>329.57126269999998</v>
      </c>
      <c r="AK12" s="3">
        <v>70.471830431787851</v>
      </c>
      <c r="AL12" s="4">
        <f t="shared" si="8"/>
        <v>0.21382880853885763</v>
      </c>
      <c r="AM12" s="3">
        <v>153132.05216797406</v>
      </c>
      <c r="AN12" s="17">
        <v>56.4</v>
      </c>
      <c r="AO12" s="17"/>
      <c r="AP12" s="17"/>
      <c r="AQ12" s="3"/>
      <c r="AR12" s="7">
        <v>3.0180518562271064</v>
      </c>
      <c r="AS12" s="30"/>
      <c r="AT12" s="30"/>
      <c r="AU12" s="30"/>
      <c r="AW12" s="17">
        <v>392.0047667</v>
      </c>
      <c r="AX12" s="17">
        <v>392.0047667</v>
      </c>
      <c r="AY12" s="17">
        <v>132.90533443178788</v>
      </c>
      <c r="AZ12" s="4">
        <v>0.33904009777896377</v>
      </c>
      <c r="BA12" s="3">
        <v>153132.05216797406</v>
      </c>
      <c r="BB12" s="17">
        <f t="shared" si="9"/>
        <v>56.4</v>
      </c>
      <c r="BC12" s="17"/>
      <c r="BD12" s="17"/>
      <c r="BE12" s="3"/>
      <c r="BF12" s="7">
        <v>3.5897872408424911</v>
      </c>
      <c r="BG12" s="30"/>
      <c r="BH12" s="30"/>
      <c r="BI12" s="30"/>
      <c r="BK12" s="17">
        <f t="shared" si="1"/>
        <v>1443.1520866999999</v>
      </c>
      <c r="BL12" s="17">
        <f t="shared" si="2"/>
        <v>1582.1452094000001</v>
      </c>
      <c r="BM12" s="17">
        <f t="shared" si="3"/>
        <v>528.98192023838249</v>
      </c>
      <c r="BN12" s="4">
        <f t="shared" si="10"/>
        <v>0.3343447346650244</v>
      </c>
      <c r="BO12" s="3">
        <f t="shared" si="4"/>
        <v>149651.77825506555</v>
      </c>
      <c r="BP12" s="7">
        <f t="shared" si="5"/>
        <v>56.4</v>
      </c>
      <c r="BQ12" s="3"/>
      <c r="BR12" s="3"/>
      <c r="BS12" s="7"/>
      <c r="BT12" s="7">
        <f t="shared" si="11"/>
        <v>3.5046884402472527</v>
      </c>
      <c r="BU12" s="30"/>
      <c r="BV12" s="30"/>
      <c r="BW12" s="30"/>
      <c r="BY12" s="5" t="s">
        <v>90</v>
      </c>
      <c r="BZ12" s="5" t="s">
        <v>90</v>
      </c>
      <c r="CA12" s="5" t="s">
        <v>90</v>
      </c>
      <c r="CC12" s="21"/>
      <c r="CE12">
        <v>0</v>
      </c>
      <c r="CI12" s="5" t="s">
        <v>91</v>
      </c>
      <c r="CK12" t="s">
        <v>91</v>
      </c>
      <c r="CM12" s="5" t="s">
        <v>96</v>
      </c>
      <c r="CO12" t="s">
        <v>90</v>
      </c>
    </row>
    <row r="13" spans="1:93" x14ac:dyDescent="0.35">
      <c r="A13" s="3" t="s">
        <v>41</v>
      </c>
      <c r="B13" s="3" t="s">
        <v>146</v>
      </c>
      <c r="C13" s="3" t="s">
        <v>154</v>
      </c>
      <c r="D13" s="2" t="s">
        <v>107</v>
      </c>
      <c r="E13" s="3" t="s">
        <v>70</v>
      </c>
      <c r="F13" s="5"/>
      <c r="G13" s="14">
        <v>27</v>
      </c>
      <c r="H13" s="7">
        <f>3.6+2.7+2.2</f>
        <v>8.5</v>
      </c>
      <c r="I13" s="3">
        <v>-7.7101893786085389</v>
      </c>
      <c r="J13" s="4">
        <f t="shared" si="0"/>
        <v>-0.90708110336571046</v>
      </c>
      <c r="K13" s="3">
        <v>127874.84755439906</v>
      </c>
      <c r="L13" s="17">
        <v>2.4</v>
      </c>
      <c r="M13" s="17">
        <v>92000</v>
      </c>
      <c r="N13" s="4">
        <v>0.7142857142857143</v>
      </c>
      <c r="O13" s="6">
        <v>2.5</v>
      </c>
      <c r="P13" s="7">
        <v>4.9283333333333337</v>
      </c>
      <c r="Q13" s="31">
        <v>5</v>
      </c>
      <c r="R13" s="31">
        <v>2</v>
      </c>
      <c r="S13" s="31">
        <f t="shared" si="6"/>
        <v>7</v>
      </c>
      <c r="T13" s="15"/>
      <c r="U13" s="7">
        <v>27</v>
      </c>
      <c r="V13" s="7">
        <v>9</v>
      </c>
      <c r="W13" s="3">
        <v>4.8723120736915924</v>
      </c>
      <c r="X13" s="4">
        <f t="shared" si="7"/>
        <v>0.54136800818795472</v>
      </c>
      <c r="Y13" s="3">
        <v>140662.332309839</v>
      </c>
      <c r="Z13" s="17">
        <v>2.4</v>
      </c>
      <c r="AA13" s="17"/>
      <c r="AB13" s="17"/>
      <c r="AC13" s="3"/>
      <c r="AD13" s="7">
        <v>9</v>
      </c>
      <c r="AE13" s="30"/>
      <c r="AF13" s="30"/>
      <c r="AG13" s="30"/>
      <c r="AI13" s="3">
        <v>20</v>
      </c>
      <c r="AJ13" s="3">
        <v>9</v>
      </c>
      <c r="AK13" s="3">
        <v>9.8723120736915924</v>
      </c>
      <c r="AL13" s="4">
        <f t="shared" si="8"/>
        <v>1.0969235637435102</v>
      </c>
      <c r="AM13" s="3">
        <v>140662.332309839</v>
      </c>
      <c r="AN13" s="17">
        <v>2.4</v>
      </c>
      <c r="AO13" s="17"/>
      <c r="AP13" s="17"/>
      <c r="AQ13" s="3"/>
      <c r="AR13" s="7">
        <v>6.666666666666667</v>
      </c>
      <c r="AS13" s="30"/>
      <c r="AT13" s="30"/>
      <c r="AU13" s="30"/>
      <c r="AW13" s="17">
        <v>23</v>
      </c>
      <c r="AX13" s="17">
        <v>9</v>
      </c>
      <c r="AY13" s="17">
        <v>12.872312073691592</v>
      </c>
      <c r="AZ13" s="4">
        <v>0.55966574233441702</v>
      </c>
      <c r="BA13" s="3">
        <v>140662.332309839</v>
      </c>
      <c r="BB13" s="17">
        <f t="shared" si="9"/>
        <v>2.4</v>
      </c>
      <c r="BC13" s="17"/>
      <c r="BD13" s="17"/>
      <c r="BE13" s="3"/>
      <c r="BF13" s="7">
        <v>7.666666666666667</v>
      </c>
      <c r="BG13" s="30"/>
      <c r="BH13" s="30"/>
      <c r="BI13" s="30"/>
      <c r="BK13" s="17">
        <f t="shared" si="1"/>
        <v>97</v>
      </c>
      <c r="BL13" s="17">
        <f t="shared" si="2"/>
        <v>35.5</v>
      </c>
      <c r="BM13" s="17">
        <f t="shared" si="3"/>
        <v>19.906746842466237</v>
      </c>
      <c r="BN13" s="4">
        <f t="shared" si="10"/>
        <v>0.56075343218214757</v>
      </c>
      <c r="BO13" s="3">
        <f t="shared" si="4"/>
        <v>137465.46112097902</v>
      </c>
      <c r="BP13" s="7">
        <f t="shared" si="5"/>
        <v>2.4</v>
      </c>
      <c r="BQ13" s="3"/>
      <c r="BR13" s="3"/>
      <c r="BS13" s="7"/>
      <c r="BT13" s="7">
        <f t="shared" si="11"/>
        <v>7.0654166666666676</v>
      </c>
      <c r="BU13" s="30"/>
      <c r="BV13" s="30"/>
      <c r="BW13" s="30"/>
      <c r="BY13" s="5" t="s">
        <v>90</v>
      </c>
      <c r="BZ13" s="5" t="s">
        <v>90</v>
      </c>
      <c r="CA13" s="5" t="s">
        <v>90</v>
      </c>
      <c r="CC13" s="21"/>
      <c r="CE13">
        <v>0</v>
      </c>
      <c r="CI13" s="5" t="s">
        <v>91</v>
      </c>
      <c r="CK13" t="s">
        <v>91</v>
      </c>
      <c r="CM13" s="5" t="s">
        <v>104</v>
      </c>
      <c r="CO13" t="s">
        <v>91</v>
      </c>
    </row>
    <row r="14" spans="1:93" x14ac:dyDescent="0.35">
      <c r="A14" s="3" t="s">
        <v>13</v>
      </c>
      <c r="B14" s="3" t="s">
        <v>142</v>
      </c>
      <c r="C14" s="3" t="s">
        <v>83</v>
      </c>
      <c r="D14" s="25" t="s">
        <v>107</v>
      </c>
      <c r="E14" s="3" t="s">
        <v>2</v>
      </c>
      <c r="F14" s="5"/>
      <c r="G14" s="14">
        <v>0</v>
      </c>
      <c r="H14" s="7">
        <v>0.9</v>
      </c>
      <c r="I14" s="3">
        <v>-11.146824928476576</v>
      </c>
      <c r="J14" s="4">
        <f t="shared" si="0"/>
        <v>-12.38536103164064</v>
      </c>
      <c r="K14" s="3">
        <v>90000</v>
      </c>
      <c r="L14" s="17">
        <v>1.3499999999999999</v>
      </c>
      <c r="M14" s="17">
        <v>18000</v>
      </c>
      <c r="N14" s="4">
        <v>1</v>
      </c>
      <c r="O14" s="6">
        <v>0.56433408577878108</v>
      </c>
      <c r="P14" s="7">
        <v>0.1</v>
      </c>
      <c r="Q14" s="31">
        <v>5</v>
      </c>
      <c r="R14" s="31">
        <v>0</v>
      </c>
      <c r="S14" s="31">
        <f t="shared" si="6"/>
        <v>5</v>
      </c>
      <c r="T14" s="15"/>
      <c r="U14" s="7">
        <v>0</v>
      </c>
      <c r="V14" s="7">
        <v>0</v>
      </c>
      <c r="W14" s="3">
        <v>0</v>
      </c>
      <c r="X14" s="4">
        <f t="shared" si="7"/>
        <v>0</v>
      </c>
      <c r="Y14" s="3">
        <v>0</v>
      </c>
      <c r="Z14" s="17">
        <v>0</v>
      </c>
      <c r="AA14" s="17"/>
      <c r="AB14" s="17"/>
      <c r="AC14" s="3"/>
      <c r="AD14" s="7">
        <v>0</v>
      </c>
      <c r="AE14" s="30"/>
      <c r="AF14" s="30"/>
      <c r="AG14" s="30"/>
      <c r="AI14" s="3">
        <v>0</v>
      </c>
      <c r="AJ14" s="3">
        <v>0</v>
      </c>
      <c r="AK14" s="3">
        <v>0</v>
      </c>
      <c r="AL14" s="4">
        <f t="shared" si="8"/>
        <v>0</v>
      </c>
      <c r="AM14" s="3">
        <v>0</v>
      </c>
      <c r="AN14" s="17">
        <v>0</v>
      </c>
      <c r="AO14" s="17"/>
      <c r="AP14" s="17"/>
      <c r="AQ14" s="3"/>
      <c r="AR14" s="7">
        <v>0</v>
      </c>
      <c r="AS14" s="30"/>
      <c r="AT14" s="30"/>
      <c r="AU14" s="30"/>
      <c r="AW14" s="17">
        <v>0</v>
      </c>
      <c r="AX14" s="17">
        <v>0</v>
      </c>
      <c r="AY14" s="17">
        <v>0</v>
      </c>
      <c r="AZ14" s="4">
        <v>0</v>
      </c>
      <c r="BA14" s="3">
        <v>0</v>
      </c>
      <c r="BB14" s="17">
        <f t="shared" si="9"/>
        <v>0</v>
      </c>
      <c r="BC14" s="17"/>
      <c r="BD14" s="17"/>
      <c r="BE14" s="3"/>
      <c r="BF14" s="7">
        <v>0</v>
      </c>
      <c r="BG14" s="30"/>
      <c r="BH14" s="30"/>
      <c r="BI14" s="30"/>
      <c r="BK14" s="17">
        <f t="shared" si="1"/>
        <v>0</v>
      </c>
      <c r="BL14" s="17">
        <f t="shared" si="2"/>
        <v>0.9</v>
      </c>
      <c r="BM14" s="17">
        <f t="shared" si="3"/>
        <v>-11.146824928476576</v>
      </c>
      <c r="BN14" s="4">
        <f t="shared" si="10"/>
        <v>-12.38536103164064</v>
      </c>
      <c r="BO14" s="3">
        <f t="shared" si="4"/>
        <v>22500</v>
      </c>
      <c r="BP14" s="7">
        <f t="shared" si="5"/>
        <v>0.33749999999999997</v>
      </c>
      <c r="BQ14" s="3"/>
      <c r="BR14" s="3"/>
      <c r="BS14" s="7"/>
      <c r="BT14" s="7">
        <f t="shared" si="11"/>
        <v>2.5000000000000001E-2</v>
      </c>
      <c r="BU14" s="30"/>
      <c r="BV14" s="30"/>
      <c r="BW14" s="30"/>
      <c r="BY14" s="5" t="s">
        <v>90</v>
      </c>
      <c r="BZ14" s="5" t="s">
        <v>90</v>
      </c>
      <c r="CA14" s="5" t="s">
        <v>90</v>
      </c>
      <c r="CC14" s="21"/>
      <c r="CE14">
        <v>0</v>
      </c>
      <c r="CI14" s="5" t="s">
        <v>91</v>
      </c>
      <c r="CK14" t="s">
        <v>90</v>
      </c>
      <c r="CM14" s="5" t="s">
        <v>105</v>
      </c>
      <c r="CO14" t="s">
        <v>91</v>
      </c>
    </row>
    <row r="15" spans="1:93" x14ac:dyDescent="0.35">
      <c r="A15" s="3" t="s">
        <v>23</v>
      </c>
      <c r="B15" s="3" t="s">
        <v>142</v>
      </c>
      <c r="C15" s="3" t="s">
        <v>84</v>
      </c>
      <c r="D15" s="26" t="s">
        <v>107</v>
      </c>
      <c r="E15" s="3" t="s">
        <v>2</v>
      </c>
      <c r="F15" s="5"/>
      <c r="G15" s="14">
        <v>0</v>
      </c>
      <c r="H15" s="7">
        <v>0</v>
      </c>
      <c r="I15" s="3">
        <v>0</v>
      </c>
      <c r="J15" s="4">
        <f t="shared" si="0"/>
        <v>0</v>
      </c>
      <c r="K15" s="3">
        <v>0</v>
      </c>
      <c r="L15" s="17">
        <v>0</v>
      </c>
      <c r="M15" s="4"/>
      <c r="N15" s="4">
        <v>0</v>
      </c>
      <c r="O15" s="6"/>
      <c r="P15" s="7">
        <v>0</v>
      </c>
      <c r="Q15" s="31">
        <v>0</v>
      </c>
      <c r="R15" s="31">
        <v>0</v>
      </c>
      <c r="S15" s="31">
        <f t="shared" si="6"/>
        <v>0</v>
      </c>
      <c r="T15" s="15"/>
      <c r="U15" s="7">
        <v>0</v>
      </c>
      <c r="V15" s="7">
        <v>0</v>
      </c>
      <c r="W15" s="3">
        <v>0</v>
      </c>
      <c r="X15" s="4">
        <f t="shared" si="7"/>
        <v>0</v>
      </c>
      <c r="Y15" s="3">
        <v>0</v>
      </c>
      <c r="Z15" s="17">
        <v>0</v>
      </c>
      <c r="AA15" s="17"/>
      <c r="AB15" s="17"/>
      <c r="AC15" s="3"/>
      <c r="AD15" s="7">
        <v>0</v>
      </c>
      <c r="AE15" s="30"/>
      <c r="AF15" s="30"/>
      <c r="AG15" s="30"/>
      <c r="AI15" s="3">
        <v>0</v>
      </c>
      <c r="AJ15" s="3">
        <v>0</v>
      </c>
      <c r="AK15" s="3">
        <v>0</v>
      </c>
      <c r="AL15" s="4">
        <f t="shared" si="8"/>
        <v>0</v>
      </c>
      <c r="AM15" s="3">
        <v>0</v>
      </c>
      <c r="AN15" s="17">
        <v>0</v>
      </c>
      <c r="AO15" s="17"/>
      <c r="AP15" s="17"/>
      <c r="AQ15" s="3"/>
      <c r="AR15" s="7">
        <v>0</v>
      </c>
      <c r="AS15" s="30"/>
      <c r="AT15" s="30"/>
      <c r="AU15" s="30"/>
      <c r="AW15" s="17">
        <v>0</v>
      </c>
      <c r="AX15" s="17">
        <v>0</v>
      </c>
      <c r="AY15" s="17">
        <v>0</v>
      </c>
      <c r="AZ15" s="4">
        <v>0</v>
      </c>
      <c r="BA15" s="3">
        <v>0</v>
      </c>
      <c r="BB15" s="17">
        <f t="shared" si="9"/>
        <v>0</v>
      </c>
      <c r="BC15" s="17"/>
      <c r="BD15" s="17"/>
      <c r="BE15" s="3"/>
      <c r="BF15" s="7">
        <v>0</v>
      </c>
      <c r="BG15" s="30"/>
      <c r="BH15" s="30"/>
      <c r="BI15" s="30"/>
      <c r="BK15" s="17">
        <f t="shared" si="1"/>
        <v>0</v>
      </c>
      <c r="BL15" s="17">
        <f t="shared" si="2"/>
        <v>0</v>
      </c>
      <c r="BM15" s="17">
        <f t="shared" si="3"/>
        <v>0</v>
      </c>
      <c r="BN15" s="4">
        <f t="shared" si="10"/>
        <v>0</v>
      </c>
      <c r="BO15" s="3">
        <f t="shared" si="4"/>
        <v>0</v>
      </c>
      <c r="BP15" s="7">
        <f t="shared" si="5"/>
        <v>0</v>
      </c>
      <c r="BQ15" s="3"/>
      <c r="BR15" s="3"/>
      <c r="BS15" s="7"/>
      <c r="BT15" s="7">
        <f t="shared" si="11"/>
        <v>0</v>
      </c>
      <c r="BU15" s="30"/>
      <c r="BV15" s="30"/>
      <c r="BW15" s="30"/>
      <c r="BY15" s="5" t="s">
        <v>90</v>
      </c>
      <c r="BZ15" s="5" t="s">
        <v>90</v>
      </c>
      <c r="CA15" s="5" t="s">
        <v>90</v>
      </c>
      <c r="CC15" s="21"/>
      <c r="CE15">
        <v>0</v>
      </c>
      <c r="CI15" s="5" t="s">
        <v>91</v>
      </c>
      <c r="CK15" t="s">
        <v>91</v>
      </c>
      <c r="CM15" s="5" t="s">
        <v>157</v>
      </c>
      <c r="CO15" t="s">
        <v>91</v>
      </c>
    </row>
    <row r="16" spans="1:93" x14ac:dyDescent="0.35">
      <c r="A16" s="3" t="s">
        <v>42</v>
      </c>
      <c r="B16" s="3" t="s">
        <v>146</v>
      </c>
      <c r="C16" s="3" t="s">
        <v>150</v>
      </c>
      <c r="D16" s="2" t="s">
        <v>107</v>
      </c>
      <c r="E16" s="3" t="s">
        <v>70</v>
      </c>
      <c r="F16" s="5"/>
      <c r="G16" s="14">
        <v>12</v>
      </c>
      <c r="H16" s="7">
        <v>12.019860000000001</v>
      </c>
      <c r="I16" s="3">
        <v>2.1909621002134534</v>
      </c>
      <c r="J16" s="4">
        <f t="shared" si="0"/>
        <v>0.18227850409351301</v>
      </c>
      <c r="K16" s="3">
        <v>84493.658345803764</v>
      </c>
      <c r="L16" s="17">
        <v>3.6666666666666665</v>
      </c>
      <c r="M16" s="17">
        <v>32928.071428571435</v>
      </c>
      <c r="N16" s="4">
        <v>1</v>
      </c>
      <c r="O16" s="6">
        <v>7</v>
      </c>
      <c r="P16" s="7">
        <v>2.2652816666666666</v>
      </c>
      <c r="Q16" s="31">
        <v>28</v>
      </c>
      <c r="R16" s="31">
        <v>0</v>
      </c>
      <c r="S16" s="31">
        <f t="shared" si="6"/>
        <v>28</v>
      </c>
      <c r="T16" s="15"/>
      <c r="U16" s="7">
        <v>13</v>
      </c>
      <c r="V16" s="7">
        <v>4</v>
      </c>
      <c r="W16" s="3">
        <v>-6.2237326598422573</v>
      </c>
      <c r="X16" s="4">
        <f t="shared" si="7"/>
        <v>-1.5559331649605643</v>
      </c>
      <c r="Y16" s="3">
        <v>92943.024180384149</v>
      </c>
      <c r="Z16" s="17">
        <v>3.6666666666666665</v>
      </c>
      <c r="AA16" s="17"/>
      <c r="AB16" s="17"/>
      <c r="AC16" s="3"/>
      <c r="AD16" s="7">
        <v>2.1666666666666665</v>
      </c>
      <c r="AE16" s="30"/>
      <c r="AF16" s="30"/>
      <c r="AG16" s="30"/>
      <c r="AI16" s="3">
        <v>11</v>
      </c>
      <c r="AJ16" s="3">
        <v>11</v>
      </c>
      <c r="AK16" s="3">
        <v>0.77626734015774268</v>
      </c>
      <c r="AL16" s="4">
        <f t="shared" si="8"/>
        <v>7.0569758196158419E-2</v>
      </c>
      <c r="AM16" s="3">
        <v>92943.024180384149</v>
      </c>
      <c r="AN16" s="17">
        <v>3.6666666666666665</v>
      </c>
      <c r="AO16" s="17"/>
      <c r="AP16" s="17"/>
      <c r="AQ16" s="3"/>
      <c r="AR16" s="7">
        <v>1.8333333333333333</v>
      </c>
      <c r="AS16" s="30"/>
      <c r="AT16" s="30"/>
      <c r="AU16" s="30"/>
      <c r="AW16" s="17">
        <v>12</v>
      </c>
      <c r="AX16" s="17">
        <v>12</v>
      </c>
      <c r="AY16" s="17">
        <v>1.7762673401577427</v>
      </c>
      <c r="AZ16" s="4">
        <v>0.14802227834647855</v>
      </c>
      <c r="BA16" s="3">
        <v>92943.024180384149</v>
      </c>
      <c r="BB16" s="17">
        <f t="shared" si="9"/>
        <v>3.6666666666666665</v>
      </c>
      <c r="BC16" s="17"/>
      <c r="BD16" s="17"/>
      <c r="BE16" s="3"/>
      <c r="BF16" s="7">
        <v>2</v>
      </c>
      <c r="BG16" s="30"/>
      <c r="BH16" s="30"/>
      <c r="BI16" s="30"/>
      <c r="BK16" s="17">
        <f t="shared" si="1"/>
        <v>48</v>
      </c>
      <c r="BL16" s="17">
        <f t="shared" si="2"/>
        <v>39.019860000000001</v>
      </c>
      <c r="BM16" s="17">
        <f t="shared" si="3"/>
        <v>-1.4802358793133186</v>
      </c>
      <c r="BN16" s="4">
        <f t="shared" si="10"/>
        <v>-3.7935448238751203E-2</v>
      </c>
      <c r="BO16" s="3">
        <f t="shared" si="4"/>
        <v>90830.682721739053</v>
      </c>
      <c r="BP16" s="7">
        <f t="shared" si="5"/>
        <v>3.6666666666666665</v>
      </c>
      <c r="BQ16" s="3"/>
      <c r="BR16" s="3"/>
      <c r="BS16" s="7"/>
      <c r="BT16" s="7">
        <f t="shared" si="11"/>
        <v>2.0663204166666667</v>
      </c>
      <c r="BU16" s="30"/>
      <c r="BV16" s="30"/>
      <c r="BW16" s="30"/>
      <c r="BY16" s="5" t="s">
        <v>90</v>
      </c>
      <c r="BZ16" s="5" t="s">
        <v>90</v>
      </c>
      <c r="CA16" s="5" t="s">
        <v>90</v>
      </c>
      <c r="CC16" s="21"/>
      <c r="CE16">
        <v>0</v>
      </c>
      <c r="CI16" s="5" t="s">
        <v>91</v>
      </c>
      <c r="CK16" t="s">
        <v>91</v>
      </c>
      <c r="CM16" s="5" t="s">
        <v>96</v>
      </c>
      <c r="CO16" t="s">
        <v>91</v>
      </c>
    </row>
    <row r="17" spans="1:93" x14ac:dyDescent="0.35">
      <c r="A17" s="3" t="s">
        <v>10</v>
      </c>
      <c r="B17" s="3" t="s">
        <v>142</v>
      </c>
      <c r="C17" s="3" t="s">
        <v>153</v>
      </c>
      <c r="D17" s="25" t="s">
        <v>107</v>
      </c>
      <c r="E17" s="3" t="s">
        <v>2</v>
      </c>
      <c r="F17" s="5"/>
      <c r="G17" s="14">
        <v>305</v>
      </c>
      <c r="H17" s="7">
        <v>349.40786230000003</v>
      </c>
      <c r="I17" s="3">
        <v>104.85500221458678</v>
      </c>
      <c r="J17" s="4">
        <f t="shared" si="0"/>
        <v>0.30009342527203564</v>
      </c>
      <c r="K17" s="3">
        <v>93889.935253165968</v>
      </c>
      <c r="L17" s="17">
        <v>80.666666666666671</v>
      </c>
      <c r="M17" s="17">
        <v>46365.260805785125</v>
      </c>
      <c r="N17" s="4">
        <v>0.53305785123966942</v>
      </c>
      <c r="O17" s="6">
        <v>1.8561151079136691</v>
      </c>
      <c r="P17" s="7">
        <v>1.8414534459595959</v>
      </c>
      <c r="Q17" s="31">
        <v>258</v>
      </c>
      <c r="R17" s="31">
        <v>226</v>
      </c>
      <c r="S17" s="31">
        <f t="shared" si="6"/>
        <v>484</v>
      </c>
      <c r="T17" s="15"/>
      <c r="U17" s="7">
        <v>330</v>
      </c>
      <c r="V17" s="7">
        <v>490</v>
      </c>
      <c r="W17" s="3">
        <v>80.064992356072167</v>
      </c>
      <c r="X17" s="4">
        <f t="shared" si="7"/>
        <v>0.16339794358382076</v>
      </c>
      <c r="Y17" s="3">
        <v>103278.92877848257</v>
      </c>
      <c r="Z17" s="17">
        <v>80.666666666666671</v>
      </c>
      <c r="AA17" s="17"/>
      <c r="AB17" s="17"/>
      <c r="AC17" s="3"/>
      <c r="AD17" s="7">
        <v>1.6666666666666667</v>
      </c>
      <c r="AE17" s="30"/>
      <c r="AF17" s="30"/>
      <c r="AG17" s="30"/>
      <c r="AI17" s="3">
        <v>360</v>
      </c>
      <c r="AJ17" s="3">
        <v>360</v>
      </c>
      <c r="AK17" s="3">
        <v>110.06499235607217</v>
      </c>
      <c r="AL17" s="4">
        <f t="shared" si="8"/>
        <v>0.30573608987797823</v>
      </c>
      <c r="AM17" s="3">
        <v>103278.92877848257</v>
      </c>
      <c r="AN17" s="17">
        <v>80.666666666666671</v>
      </c>
      <c r="AO17" s="17"/>
      <c r="AP17" s="17"/>
      <c r="AQ17" s="3"/>
      <c r="AR17" s="7">
        <v>1.8181818181818181</v>
      </c>
      <c r="AS17" s="30"/>
      <c r="AT17" s="30"/>
      <c r="AU17" s="30"/>
      <c r="AW17" s="17">
        <v>390</v>
      </c>
      <c r="AX17" s="17">
        <v>390</v>
      </c>
      <c r="AY17" s="17">
        <v>140.06499235607217</v>
      </c>
      <c r="AZ17" s="4">
        <v>0.35914100604121069</v>
      </c>
      <c r="BA17" s="3">
        <v>103278.92877848257</v>
      </c>
      <c r="BB17" s="17">
        <f t="shared" si="9"/>
        <v>80.666666666666671</v>
      </c>
      <c r="BC17" s="17"/>
      <c r="BD17" s="17"/>
      <c r="BE17" s="3"/>
      <c r="BF17" s="7">
        <v>1.9696969696969697</v>
      </c>
      <c r="BG17" s="30"/>
      <c r="BH17" s="30"/>
      <c r="BI17" s="30"/>
      <c r="BK17" s="17">
        <f t="shared" si="1"/>
        <v>1385</v>
      </c>
      <c r="BL17" s="17">
        <f t="shared" si="2"/>
        <v>1589.4078623</v>
      </c>
      <c r="BM17" s="17">
        <f t="shared" si="3"/>
        <v>435.04997928280329</v>
      </c>
      <c r="BN17" s="4">
        <f t="shared" si="10"/>
        <v>0.27371827559305717</v>
      </c>
      <c r="BO17" s="3">
        <f t="shared" si="4"/>
        <v>100931.68039715342</v>
      </c>
      <c r="BP17" s="7">
        <f t="shared" si="5"/>
        <v>80.666666666666671</v>
      </c>
      <c r="BQ17" s="3"/>
      <c r="BR17" s="3"/>
      <c r="BS17" s="7"/>
      <c r="BT17" s="7">
        <f t="shared" si="11"/>
        <v>1.8239997251262627</v>
      </c>
      <c r="BU17" s="30"/>
      <c r="BV17" s="30"/>
      <c r="BW17" s="30"/>
      <c r="BY17" s="5" t="s">
        <v>90</v>
      </c>
      <c r="BZ17" s="5" t="s">
        <v>90</v>
      </c>
      <c r="CA17" s="5" t="s">
        <v>90</v>
      </c>
      <c r="CC17" s="21"/>
      <c r="CE17">
        <v>0</v>
      </c>
      <c r="CG17">
        <f>17110481/100000</f>
        <v>171.10480999999999</v>
      </c>
      <c r="CI17" s="5" t="s">
        <v>91</v>
      </c>
      <c r="CK17" t="s">
        <v>91</v>
      </c>
      <c r="CM17" s="5" t="s">
        <v>97</v>
      </c>
      <c r="CO17" t="s">
        <v>90</v>
      </c>
    </row>
    <row r="18" spans="1:93" x14ac:dyDescent="0.35">
      <c r="A18" s="3" t="s">
        <v>20</v>
      </c>
      <c r="B18" s="3" t="s">
        <v>142</v>
      </c>
      <c r="C18" s="3" t="s">
        <v>84</v>
      </c>
      <c r="D18" s="26" t="s">
        <v>107</v>
      </c>
      <c r="E18" s="3" t="s">
        <v>2</v>
      </c>
      <c r="F18" s="5"/>
      <c r="G18" s="14">
        <v>70</v>
      </c>
      <c r="H18" s="7">
        <v>69.805023500000004</v>
      </c>
      <c r="I18" s="3">
        <v>31.813439015046185</v>
      </c>
      <c r="J18" s="4">
        <f t="shared" si="0"/>
        <v>0.45574712850066135</v>
      </c>
      <c r="K18" s="3">
        <v>130642.86165864758</v>
      </c>
      <c r="L18" s="17">
        <v>10</v>
      </c>
      <c r="M18" s="17">
        <v>121264.84411764705</v>
      </c>
      <c r="N18" s="4">
        <v>0.23529411764705882</v>
      </c>
      <c r="O18" s="6">
        <v>0.5714285714285714</v>
      </c>
      <c r="P18" s="7">
        <v>8.4656759444444436</v>
      </c>
      <c r="Q18" s="31">
        <v>4</v>
      </c>
      <c r="R18" s="31">
        <v>13</v>
      </c>
      <c r="S18" s="31">
        <f t="shared" si="6"/>
        <v>17</v>
      </c>
      <c r="T18" s="15"/>
      <c r="U18" s="7">
        <v>70</v>
      </c>
      <c r="V18" s="7">
        <v>70</v>
      </c>
      <c r="W18" s="3">
        <v>26.887855652646294</v>
      </c>
      <c r="X18" s="4">
        <f t="shared" si="7"/>
        <v>0.38411222360923275</v>
      </c>
      <c r="Y18" s="3">
        <v>143707.14782451236</v>
      </c>
      <c r="Z18" s="17">
        <v>10</v>
      </c>
      <c r="AA18" s="17"/>
      <c r="AB18" s="17"/>
      <c r="AC18" s="3"/>
      <c r="AD18" s="7">
        <v>7.7777777777777777</v>
      </c>
      <c r="AE18" s="30"/>
      <c r="AF18" s="30"/>
      <c r="AG18" s="30"/>
      <c r="AI18" s="3">
        <v>40</v>
      </c>
      <c r="AJ18" s="3">
        <v>40</v>
      </c>
      <c r="AK18" s="3">
        <v>-3.1121443473537056</v>
      </c>
      <c r="AL18" s="4">
        <f t="shared" si="8"/>
        <v>-7.7803608683842645E-2</v>
      </c>
      <c r="AM18" s="3">
        <v>143707.14782451236</v>
      </c>
      <c r="AN18" s="17">
        <v>10</v>
      </c>
      <c r="AO18" s="17"/>
      <c r="AP18" s="17"/>
      <c r="AQ18" s="3"/>
      <c r="AR18" s="7">
        <v>4.4444444444444446</v>
      </c>
      <c r="AS18" s="30"/>
      <c r="AT18" s="30"/>
      <c r="AU18" s="30"/>
      <c r="AW18" s="17">
        <v>70</v>
      </c>
      <c r="AX18" s="17">
        <v>70</v>
      </c>
      <c r="AY18" s="17">
        <v>26.887855652646294</v>
      </c>
      <c r="AZ18" s="4">
        <v>0.38411222360923275</v>
      </c>
      <c r="BA18" s="3">
        <v>143707.14782451236</v>
      </c>
      <c r="BB18" s="17">
        <f t="shared" si="9"/>
        <v>10</v>
      </c>
      <c r="BC18" s="17"/>
      <c r="BD18" s="17"/>
      <c r="BE18" s="3"/>
      <c r="BF18" s="7">
        <v>7.7777777777777777</v>
      </c>
      <c r="BG18" s="30"/>
      <c r="BH18" s="30"/>
      <c r="BI18" s="30"/>
      <c r="BK18" s="17">
        <f t="shared" si="1"/>
        <v>250</v>
      </c>
      <c r="BL18" s="17">
        <f t="shared" si="2"/>
        <v>249.8050235</v>
      </c>
      <c r="BM18" s="17">
        <f t="shared" si="3"/>
        <v>82.477005972985069</v>
      </c>
      <c r="BN18" s="4">
        <f t="shared" si="10"/>
        <v>0.33016552196351273</v>
      </c>
      <c r="BO18" s="3">
        <f t="shared" si="4"/>
        <v>140441.07628304616</v>
      </c>
      <c r="BP18" s="7">
        <f t="shared" si="5"/>
        <v>10</v>
      </c>
      <c r="BQ18" s="3"/>
      <c r="BR18" s="3"/>
      <c r="BS18" s="7"/>
      <c r="BT18" s="7">
        <f t="shared" si="11"/>
        <v>7.1164189861111105</v>
      </c>
      <c r="BU18" s="30"/>
      <c r="BV18" s="30"/>
      <c r="BW18" s="30"/>
      <c r="BY18" s="5" t="s">
        <v>90</v>
      </c>
      <c r="BZ18" s="5" t="s">
        <v>90</v>
      </c>
      <c r="CA18" s="5" t="s">
        <v>90</v>
      </c>
      <c r="CC18" s="21"/>
      <c r="CE18">
        <v>0</v>
      </c>
      <c r="CI18" s="5" t="s">
        <v>91</v>
      </c>
      <c r="CK18" t="s">
        <v>91</v>
      </c>
      <c r="CM18" s="5" t="s">
        <v>157</v>
      </c>
      <c r="CO18" t="s">
        <v>91</v>
      </c>
    </row>
    <row r="19" spans="1:93" x14ac:dyDescent="0.35">
      <c r="A19" s="3" t="s">
        <v>43</v>
      </c>
      <c r="B19" s="3" t="s">
        <v>143</v>
      </c>
      <c r="C19" s="3" t="s">
        <v>155</v>
      </c>
      <c r="D19" s="2" t="s">
        <v>107</v>
      </c>
      <c r="E19" s="3" t="s">
        <v>72</v>
      </c>
      <c r="F19" s="5"/>
      <c r="G19" s="14">
        <v>150</v>
      </c>
      <c r="H19" s="7">
        <f>63+24.4+9.7</f>
        <v>97.100000000000009</v>
      </c>
      <c r="I19" s="3">
        <v>27.996540471704119</v>
      </c>
      <c r="J19" s="4">
        <f t="shared" si="0"/>
        <v>0.28832688436358511</v>
      </c>
      <c r="K19" s="3">
        <v>98824.569981892113</v>
      </c>
      <c r="L19" s="17">
        <v>12.199999999999998</v>
      </c>
      <c r="M19" s="17">
        <v>66360.619469026555</v>
      </c>
      <c r="N19" s="4">
        <v>1</v>
      </c>
      <c r="O19" s="6">
        <v>3.8370118845500851</v>
      </c>
      <c r="P19" s="7">
        <v>2.86625</v>
      </c>
      <c r="Q19" s="31">
        <v>113</v>
      </c>
      <c r="R19" s="31">
        <v>0</v>
      </c>
      <c r="S19" s="31">
        <f t="shared" si="6"/>
        <v>113</v>
      </c>
      <c r="T19" s="15"/>
      <c r="U19" s="7">
        <v>150</v>
      </c>
      <c r="V19" s="7">
        <v>75</v>
      </c>
      <c r="W19" s="3">
        <v>29.213228125290236</v>
      </c>
      <c r="X19" s="4">
        <f t="shared" si="7"/>
        <v>0.38950970833720316</v>
      </c>
      <c r="Y19" s="3">
        <v>108707.02698008134</v>
      </c>
      <c r="Z19" s="17">
        <v>12.199999999999998</v>
      </c>
      <c r="AA19" s="17"/>
      <c r="AB19" s="17"/>
      <c r="AC19" s="3"/>
      <c r="AD19" s="7">
        <v>5</v>
      </c>
      <c r="AE19" s="30"/>
      <c r="AF19" s="30"/>
      <c r="AG19" s="30"/>
      <c r="AI19" s="3">
        <v>100</v>
      </c>
      <c r="AJ19" s="3">
        <v>75</v>
      </c>
      <c r="AK19" s="3">
        <v>60.213228125290236</v>
      </c>
      <c r="AL19" s="4">
        <f t="shared" si="8"/>
        <v>0.80284304167053644</v>
      </c>
      <c r="AM19" s="3">
        <v>108707.02698008134</v>
      </c>
      <c r="AN19" s="17">
        <v>12.199999999999998</v>
      </c>
      <c r="AO19" s="17"/>
      <c r="AP19" s="17"/>
      <c r="AQ19" s="3"/>
      <c r="AR19" s="7">
        <v>3.3333333333333335</v>
      </c>
      <c r="AS19" s="30"/>
      <c r="AT19" s="30"/>
      <c r="AU19" s="30"/>
      <c r="AW19" s="17">
        <v>150</v>
      </c>
      <c r="AX19" s="17">
        <v>90</v>
      </c>
      <c r="AY19" s="17">
        <v>110.21322812529024</v>
      </c>
      <c r="AZ19" s="4">
        <v>0.73475485416860165</v>
      </c>
      <c r="BA19" s="3">
        <v>108707.02698008134</v>
      </c>
      <c r="BB19" s="17">
        <f t="shared" si="9"/>
        <v>12.199999999999998</v>
      </c>
      <c r="BC19" s="17"/>
      <c r="BD19" s="17"/>
      <c r="BE19" s="3"/>
      <c r="BF19" s="7">
        <v>5</v>
      </c>
      <c r="BG19" s="30"/>
      <c r="BH19" s="30"/>
      <c r="BI19" s="30"/>
      <c r="BK19" s="17">
        <f t="shared" si="1"/>
        <v>550</v>
      </c>
      <c r="BL19" s="17">
        <f t="shared" si="2"/>
        <v>337.1</v>
      </c>
      <c r="BM19" s="17">
        <f t="shared" si="3"/>
        <v>227.63622484757485</v>
      </c>
      <c r="BN19" s="4">
        <f t="shared" si="10"/>
        <v>0.6752780327723964</v>
      </c>
      <c r="BO19" s="3">
        <f t="shared" si="4"/>
        <v>106236.41273053404</v>
      </c>
      <c r="BP19" s="7">
        <f t="shared" si="5"/>
        <v>12.199999999999998</v>
      </c>
      <c r="BQ19" s="3"/>
      <c r="BR19" s="3"/>
      <c r="BS19" s="7"/>
      <c r="BT19" s="7">
        <f t="shared" si="11"/>
        <v>4.0498958333333333</v>
      </c>
      <c r="BU19" s="30"/>
      <c r="BV19" s="30"/>
      <c r="BW19" s="30"/>
      <c r="BY19" s="5" t="s">
        <v>90</v>
      </c>
      <c r="BZ19" s="5" t="s">
        <v>90</v>
      </c>
      <c r="CA19" s="5" t="s">
        <v>90</v>
      </c>
      <c r="CC19" s="21"/>
      <c r="CE19">
        <v>35</v>
      </c>
      <c r="CI19" s="5" t="s">
        <v>91</v>
      </c>
      <c r="CK19" t="s">
        <v>91</v>
      </c>
      <c r="CM19" s="5" t="s">
        <v>96</v>
      </c>
      <c r="CO19" t="s">
        <v>90</v>
      </c>
    </row>
    <row r="20" spans="1:93" x14ac:dyDescent="0.35">
      <c r="A20" s="3" t="s">
        <v>11</v>
      </c>
      <c r="B20" s="3" t="s">
        <v>142</v>
      </c>
      <c r="C20" s="3" t="s">
        <v>83</v>
      </c>
      <c r="D20" s="25" t="s">
        <v>107</v>
      </c>
      <c r="E20" s="3" t="s">
        <v>2</v>
      </c>
      <c r="F20" s="5"/>
      <c r="G20" s="14">
        <v>20.110000000000003</v>
      </c>
      <c r="H20" s="7">
        <v>30.900800000000004</v>
      </c>
      <c r="I20" s="3">
        <v>13.932448771744006</v>
      </c>
      <c r="J20" s="4">
        <f t="shared" si="0"/>
        <v>0.45087663658364846</v>
      </c>
      <c r="K20" s="3">
        <v>87648.628603046702</v>
      </c>
      <c r="L20" s="17">
        <v>4.333333333333333</v>
      </c>
      <c r="M20" s="17">
        <v>47197.647058823532</v>
      </c>
      <c r="N20" s="4">
        <v>0.52941176470588236</v>
      </c>
      <c r="O20" s="6">
        <v>3.375</v>
      </c>
      <c r="P20" s="7">
        <v>2.5019809523809524</v>
      </c>
      <c r="Q20" s="31">
        <v>27</v>
      </c>
      <c r="R20" s="31">
        <v>24</v>
      </c>
      <c r="S20" s="31">
        <f t="shared" si="6"/>
        <v>51</v>
      </c>
      <c r="T20" s="15"/>
      <c r="U20" s="7">
        <v>24.865000000000002</v>
      </c>
      <c r="V20" s="7">
        <v>25.19</v>
      </c>
      <c r="W20" s="3">
        <v>15.331246109764319</v>
      </c>
      <c r="X20" s="4">
        <f t="shared" si="7"/>
        <v>0.60862429971275578</v>
      </c>
      <c r="Y20" s="3">
        <v>96413.491463351384</v>
      </c>
      <c r="Z20" s="17">
        <v>4.333333333333333</v>
      </c>
      <c r="AA20" s="17"/>
      <c r="AB20" s="17"/>
      <c r="AC20" s="3"/>
      <c r="AD20" s="7">
        <v>2.3680952380952385</v>
      </c>
      <c r="AE20" s="30"/>
      <c r="AF20" s="30"/>
      <c r="AG20" s="30"/>
      <c r="AI20" s="3">
        <v>25.634999999999998</v>
      </c>
      <c r="AJ20" s="3">
        <v>25.634999999999998</v>
      </c>
      <c r="AK20" s="3">
        <v>13.101246109764318</v>
      </c>
      <c r="AL20" s="4">
        <f t="shared" si="8"/>
        <v>0.51106869942517341</v>
      </c>
      <c r="AM20" s="3">
        <v>96413.491463351384</v>
      </c>
      <c r="AN20" s="17">
        <v>4.333333333333333</v>
      </c>
      <c r="AO20" s="17"/>
      <c r="AP20" s="17"/>
      <c r="AQ20" s="3"/>
      <c r="AR20" s="7">
        <v>2.4414285714285713</v>
      </c>
      <c r="AS20" s="30"/>
      <c r="AT20" s="30"/>
      <c r="AU20" s="30"/>
      <c r="AW20" s="17">
        <v>23.71</v>
      </c>
      <c r="AX20" s="17">
        <v>23.71</v>
      </c>
      <c r="AY20" s="17">
        <v>11.176246109764321</v>
      </c>
      <c r="AZ20" s="4">
        <v>0.47137267438904767</v>
      </c>
      <c r="BA20" s="3">
        <v>96413.491463351384</v>
      </c>
      <c r="BB20" s="17">
        <f t="shared" si="9"/>
        <v>4.333333333333333</v>
      </c>
      <c r="BC20" s="17"/>
      <c r="BD20" s="17"/>
      <c r="BE20" s="3"/>
      <c r="BF20" s="7">
        <v>2.2580952380952382</v>
      </c>
      <c r="BG20" s="30"/>
      <c r="BH20" s="30"/>
      <c r="BI20" s="30"/>
      <c r="BK20" s="17">
        <f t="shared" si="1"/>
        <v>94.320000000000007</v>
      </c>
      <c r="BL20" s="17">
        <f t="shared" si="2"/>
        <v>105.4358</v>
      </c>
      <c r="BM20" s="17">
        <f t="shared" si="3"/>
        <v>53.541187101036968</v>
      </c>
      <c r="BN20" s="4">
        <f t="shared" si="10"/>
        <v>0.5078084208687843</v>
      </c>
      <c r="BO20" s="3">
        <f t="shared" si="4"/>
        <v>94222.27574827522</v>
      </c>
      <c r="BP20" s="7">
        <f t="shared" si="5"/>
        <v>4.333333333333333</v>
      </c>
      <c r="BQ20" s="3"/>
      <c r="BR20" s="3"/>
      <c r="BS20" s="7"/>
      <c r="BT20" s="7">
        <f t="shared" si="11"/>
        <v>2.3923999999999999</v>
      </c>
      <c r="BU20" s="30"/>
      <c r="BV20" s="30"/>
      <c r="BW20" s="30"/>
      <c r="BY20" s="5" t="s">
        <v>90</v>
      </c>
      <c r="BZ20" s="5" t="s">
        <v>90</v>
      </c>
      <c r="CA20" s="5" t="s">
        <v>90</v>
      </c>
      <c r="CC20" s="21"/>
      <c r="CE20">
        <v>17.080000000000002</v>
      </c>
      <c r="CG20">
        <f>3300161/100000</f>
        <v>33.001609999999999</v>
      </c>
      <c r="CI20" s="5" t="s">
        <v>91</v>
      </c>
      <c r="CK20" t="s">
        <v>91</v>
      </c>
      <c r="CM20" s="5" t="s">
        <v>104</v>
      </c>
      <c r="CO20" t="s">
        <v>91</v>
      </c>
    </row>
    <row r="21" spans="1:93" x14ac:dyDescent="0.35">
      <c r="A21" s="3" t="s">
        <v>12</v>
      </c>
      <c r="B21" s="3" t="s">
        <v>142</v>
      </c>
      <c r="C21" s="3" t="s">
        <v>149</v>
      </c>
      <c r="D21" s="25" t="s">
        <v>107</v>
      </c>
      <c r="E21" s="3" t="s">
        <v>2</v>
      </c>
      <c r="F21" s="5"/>
      <c r="G21" s="14">
        <v>90</v>
      </c>
      <c r="H21" s="7">
        <v>117.64298275000002</v>
      </c>
      <c r="I21" s="3">
        <v>7.8408047195120671</v>
      </c>
      <c r="J21" s="4">
        <f t="shared" si="0"/>
        <v>6.6649149283934367E-2</v>
      </c>
      <c r="K21" s="3">
        <v>92605.584307238096</v>
      </c>
      <c r="L21" s="17">
        <v>35.5</v>
      </c>
      <c r="M21" s="17">
        <v>66772.508516483518</v>
      </c>
      <c r="N21" s="4">
        <v>0.80219780219780223</v>
      </c>
      <c r="O21" s="6">
        <v>0.98648648648648651</v>
      </c>
      <c r="P21" s="7">
        <v>1.0554572946859904</v>
      </c>
      <c r="Q21" s="31">
        <v>73</v>
      </c>
      <c r="R21" s="31">
        <v>18</v>
      </c>
      <c r="S21" s="31">
        <f t="shared" si="6"/>
        <v>91</v>
      </c>
      <c r="T21" s="15"/>
      <c r="U21" s="7">
        <v>90</v>
      </c>
      <c r="V21" s="7">
        <v>73.14</v>
      </c>
      <c r="W21" s="3">
        <v>-18.487442015929446</v>
      </c>
      <c r="X21" s="4">
        <f t="shared" si="7"/>
        <v>-0.25276787005645945</v>
      </c>
      <c r="Y21" s="3">
        <v>101866.14273796191</v>
      </c>
      <c r="Z21" s="17">
        <v>35.5</v>
      </c>
      <c r="AA21" s="17"/>
      <c r="AB21" s="17"/>
      <c r="AC21" s="3"/>
      <c r="AD21" s="7">
        <v>0.86956521739130432</v>
      </c>
      <c r="AE21" s="30"/>
      <c r="AF21" s="30"/>
      <c r="AG21" s="30"/>
      <c r="AI21" s="3">
        <v>90</v>
      </c>
      <c r="AJ21" s="3">
        <v>90</v>
      </c>
      <c r="AK21" s="3">
        <v>-18.487442015929446</v>
      </c>
      <c r="AL21" s="4">
        <f t="shared" si="8"/>
        <v>-0.20541602239921605</v>
      </c>
      <c r="AM21" s="3">
        <v>101866.14273796191</v>
      </c>
      <c r="AN21" s="17">
        <v>35.5</v>
      </c>
      <c r="AO21" s="17"/>
      <c r="AP21" s="17"/>
      <c r="AQ21" s="3"/>
      <c r="AR21" s="7">
        <v>0.86956521739130432</v>
      </c>
      <c r="AS21" s="30"/>
      <c r="AT21" s="30"/>
      <c r="AU21" s="30"/>
      <c r="AW21" s="17">
        <v>90</v>
      </c>
      <c r="AX21" s="17">
        <v>90</v>
      </c>
      <c r="AY21" s="17">
        <v>-18.487442015929446</v>
      </c>
      <c r="AZ21" s="4">
        <v>-0.20541602239921605</v>
      </c>
      <c r="BA21" s="3">
        <v>101866.14273796191</v>
      </c>
      <c r="BB21" s="17">
        <f t="shared" si="9"/>
        <v>35.5</v>
      </c>
      <c r="BC21" s="17"/>
      <c r="BD21" s="17"/>
      <c r="BE21" s="3"/>
      <c r="BF21" s="7">
        <v>0.86956521739130432</v>
      </c>
      <c r="BG21" s="30"/>
      <c r="BH21" s="30"/>
      <c r="BI21" s="30"/>
      <c r="BK21" s="17">
        <f t="shared" si="1"/>
        <v>360</v>
      </c>
      <c r="BL21" s="17">
        <f t="shared" si="2"/>
        <v>370.78298274999997</v>
      </c>
      <c r="BM21" s="17">
        <f t="shared" si="3"/>
        <v>-47.621521328276273</v>
      </c>
      <c r="BN21" s="4">
        <f t="shared" si="10"/>
        <v>-0.12843502410784863</v>
      </c>
      <c r="BO21" s="3">
        <f t="shared" si="4"/>
        <v>99551.003130280951</v>
      </c>
      <c r="BP21" s="7">
        <f t="shared" si="5"/>
        <v>35.5</v>
      </c>
      <c r="BQ21" s="3"/>
      <c r="BR21" s="3"/>
      <c r="BS21" s="7"/>
      <c r="BT21" s="7">
        <f t="shared" si="11"/>
        <v>0.91603823671497575</v>
      </c>
      <c r="BU21" s="30"/>
      <c r="BV21" s="30"/>
      <c r="BW21" s="30"/>
      <c r="BY21" s="5" t="s">
        <v>90</v>
      </c>
      <c r="BZ21" s="5" t="s">
        <v>90</v>
      </c>
      <c r="CA21" s="5" t="s">
        <v>90</v>
      </c>
      <c r="CC21" s="21"/>
      <c r="CE21">
        <v>60.762982750000006</v>
      </c>
      <c r="CI21" s="5" t="s">
        <v>91</v>
      </c>
      <c r="CK21" t="s">
        <v>90</v>
      </c>
      <c r="CM21" s="5" t="s">
        <v>105</v>
      </c>
      <c r="CO21" t="s">
        <v>90</v>
      </c>
    </row>
    <row r="22" spans="1:93" x14ac:dyDescent="0.35">
      <c r="A22" s="3" t="s">
        <v>22</v>
      </c>
      <c r="B22" s="3" t="s">
        <v>142</v>
      </c>
      <c r="C22" s="3" t="s">
        <v>149</v>
      </c>
      <c r="D22" s="26" t="s">
        <v>107</v>
      </c>
      <c r="E22" s="3" t="s">
        <v>2</v>
      </c>
      <c r="F22" s="5"/>
      <c r="G22" s="14">
        <v>15</v>
      </c>
      <c r="H22" s="7">
        <v>2.2600000000000002</v>
      </c>
      <c r="I22" s="3">
        <v>2.2599999999999998</v>
      </c>
      <c r="J22" s="4">
        <f t="shared" si="0"/>
        <v>0.99999999999999978</v>
      </c>
      <c r="K22" s="3">
        <v>103085.48499783476</v>
      </c>
      <c r="L22" s="17">
        <v>0.66666666666666663</v>
      </c>
      <c r="M22" s="4"/>
      <c r="N22" s="4">
        <v>0</v>
      </c>
      <c r="O22" s="6" t="s">
        <v>123</v>
      </c>
      <c r="P22" s="7">
        <v>0</v>
      </c>
      <c r="Q22" s="31">
        <v>0</v>
      </c>
      <c r="R22" s="31">
        <v>0</v>
      </c>
      <c r="S22" s="31">
        <f t="shared" si="6"/>
        <v>0</v>
      </c>
      <c r="T22" s="15"/>
      <c r="U22" s="7">
        <v>23</v>
      </c>
      <c r="V22" s="7">
        <v>13.23</v>
      </c>
      <c r="W22" s="3">
        <v>20.732119330047635</v>
      </c>
      <c r="X22" s="4">
        <f t="shared" si="7"/>
        <v>1.5670536152719301</v>
      </c>
      <c r="Y22" s="3">
        <v>113394.03349761825</v>
      </c>
      <c r="Z22" s="17">
        <v>0.66666666666666663</v>
      </c>
      <c r="AA22" s="17"/>
      <c r="AB22" s="17"/>
      <c r="AC22" s="3"/>
      <c r="AD22" s="7">
        <v>0</v>
      </c>
      <c r="AE22" s="30"/>
      <c r="AF22" s="30"/>
      <c r="AG22" s="30"/>
      <c r="AI22" s="3">
        <v>26</v>
      </c>
      <c r="AJ22" s="3">
        <v>26</v>
      </c>
      <c r="AK22" s="3">
        <v>23.732119330047635</v>
      </c>
      <c r="AL22" s="4">
        <f t="shared" si="8"/>
        <v>0.9127738203864475</v>
      </c>
      <c r="AM22" s="3">
        <v>113394.03349761825</v>
      </c>
      <c r="AN22" s="17">
        <v>0.66666666666666663</v>
      </c>
      <c r="AO22" s="17"/>
      <c r="AP22" s="17"/>
      <c r="AQ22" s="3"/>
      <c r="AR22" s="7">
        <v>0</v>
      </c>
      <c r="AS22" s="30"/>
      <c r="AT22" s="30"/>
      <c r="AU22" s="30"/>
      <c r="AW22" s="17">
        <v>26</v>
      </c>
      <c r="AX22" s="17">
        <v>26</v>
      </c>
      <c r="AY22" s="17">
        <v>23.732119330047635</v>
      </c>
      <c r="AZ22" s="4">
        <v>0.9127738203864475</v>
      </c>
      <c r="BA22" s="3">
        <v>113394.03349761825</v>
      </c>
      <c r="BB22" s="17">
        <f t="shared" si="9"/>
        <v>0.66666666666666663</v>
      </c>
      <c r="BC22" s="17"/>
      <c r="BD22" s="17"/>
      <c r="BE22" s="3"/>
      <c r="BF22" s="7">
        <v>0</v>
      </c>
      <c r="BG22" s="30"/>
      <c r="BH22" s="30"/>
      <c r="BI22" s="30"/>
      <c r="BK22" s="17">
        <f t="shared" si="1"/>
        <v>90</v>
      </c>
      <c r="BL22" s="17">
        <f t="shared" si="2"/>
        <v>67.490000000000009</v>
      </c>
      <c r="BM22" s="17">
        <f t="shared" si="3"/>
        <v>70.456357990142905</v>
      </c>
      <c r="BN22" s="4">
        <f t="shared" si="10"/>
        <v>1.0439525557881597</v>
      </c>
      <c r="BO22" s="3">
        <f t="shared" si="4"/>
        <v>110816.89637267237</v>
      </c>
      <c r="BP22" s="7">
        <f t="shared" si="5"/>
        <v>0.66666666666666663</v>
      </c>
      <c r="BQ22" s="3"/>
      <c r="BR22" s="3"/>
      <c r="BS22" s="7"/>
      <c r="BT22" s="7">
        <f t="shared" si="11"/>
        <v>0</v>
      </c>
      <c r="BU22" s="30"/>
      <c r="BV22" s="30"/>
      <c r="BW22" s="30"/>
      <c r="BY22" s="5" t="s">
        <v>90</v>
      </c>
      <c r="BZ22" s="5" t="s">
        <v>90</v>
      </c>
      <c r="CA22" s="5" t="s">
        <v>90</v>
      </c>
      <c r="CC22" s="21"/>
      <c r="CE22">
        <v>0.1</v>
      </c>
      <c r="CI22" s="5" t="s">
        <v>91</v>
      </c>
      <c r="CK22" t="s">
        <v>91</v>
      </c>
      <c r="CM22" s="5" t="s">
        <v>157</v>
      </c>
      <c r="CO22" t="s">
        <v>91</v>
      </c>
    </row>
    <row r="23" spans="1:93" x14ac:dyDescent="0.35">
      <c r="A23" s="3" t="s">
        <v>44</v>
      </c>
      <c r="B23" s="3" t="s">
        <v>146</v>
      </c>
      <c r="C23" s="3" t="s">
        <v>154</v>
      </c>
      <c r="D23" s="2" t="s">
        <v>107</v>
      </c>
      <c r="E23" s="3" t="s">
        <v>70</v>
      </c>
      <c r="F23" s="5"/>
      <c r="G23" s="14">
        <v>4</v>
      </c>
      <c r="H23" s="7">
        <v>2.3909400000000001</v>
      </c>
      <c r="I23" s="3">
        <v>-0.84220144258580554</v>
      </c>
      <c r="J23" s="4">
        <f t="shared" si="0"/>
        <v>-0.35224700016972632</v>
      </c>
      <c r="K23" s="3">
        <v>110145.72220882092</v>
      </c>
      <c r="L23" s="17">
        <v>1</v>
      </c>
      <c r="M23" s="17">
        <v>79698</v>
      </c>
      <c r="N23" s="4">
        <v>0.66666666666666663</v>
      </c>
      <c r="O23" s="6">
        <v>2</v>
      </c>
      <c r="P23" s="7">
        <v>0.8948166666666667</v>
      </c>
      <c r="Q23" s="31">
        <v>2</v>
      </c>
      <c r="R23" s="31">
        <v>1</v>
      </c>
      <c r="S23" s="31">
        <f t="shared" si="6"/>
        <v>3</v>
      </c>
      <c r="T23" s="15"/>
      <c r="U23" s="7">
        <v>4</v>
      </c>
      <c r="V23" s="7">
        <v>2.5</v>
      </c>
      <c r="W23" s="3">
        <v>-1.1348088328910904</v>
      </c>
      <c r="X23" s="4">
        <f t="shared" si="7"/>
        <v>-0.45392353315643613</v>
      </c>
      <c r="Y23" s="3">
        <v>121160.29442970302</v>
      </c>
      <c r="Z23" s="17">
        <v>1</v>
      </c>
      <c r="AA23" s="17"/>
      <c r="AB23" s="17"/>
      <c r="AC23" s="3"/>
      <c r="AD23" s="7">
        <v>1.3333333333333333</v>
      </c>
      <c r="AE23" s="30"/>
      <c r="AF23" s="30"/>
      <c r="AG23" s="30"/>
      <c r="AI23" s="3">
        <v>0</v>
      </c>
      <c r="AJ23" s="3">
        <v>0</v>
      </c>
      <c r="AK23" s="3">
        <v>-3.6348088328910904</v>
      </c>
      <c r="AL23" s="4">
        <f t="shared" si="8"/>
        <v>0</v>
      </c>
      <c r="AM23" s="3">
        <v>121160.29442970302</v>
      </c>
      <c r="AN23" s="17">
        <v>1</v>
      </c>
      <c r="AO23" s="17"/>
      <c r="AP23" s="17"/>
      <c r="AQ23" s="3"/>
      <c r="AR23" s="7">
        <v>0</v>
      </c>
      <c r="AS23" s="30"/>
      <c r="AT23" s="30"/>
      <c r="AU23" s="30"/>
      <c r="AW23" s="17">
        <v>0</v>
      </c>
      <c r="AX23" s="17">
        <v>0</v>
      </c>
      <c r="AY23" s="17">
        <v>-3.6348088328910904</v>
      </c>
      <c r="AZ23" s="4">
        <v>0</v>
      </c>
      <c r="BA23" s="3">
        <v>121160.29442970302</v>
      </c>
      <c r="BB23" s="17">
        <f t="shared" si="9"/>
        <v>1</v>
      </c>
      <c r="BC23" s="17"/>
      <c r="BD23" s="17"/>
      <c r="BE23" s="3"/>
      <c r="BF23" s="7">
        <v>0</v>
      </c>
      <c r="BG23" s="30"/>
      <c r="BH23" s="30"/>
      <c r="BI23" s="30"/>
      <c r="BK23" s="17">
        <f t="shared" si="1"/>
        <v>8</v>
      </c>
      <c r="BL23" s="17">
        <f t="shared" si="2"/>
        <v>4.8909400000000005</v>
      </c>
      <c r="BM23" s="17">
        <f t="shared" si="3"/>
        <v>-9.2466279412590762</v>
      </c>
      <c r="BN23" s="4">
        <f t="shared" si="10"/>
        <v>-1.8905625383380444</v>
      </c>
      <c r="BO23" s="3">
        <f t="shared" si="4"/>
        <v>118406.65137448251</v>
      </c>
      <c r="BP23" s="7">
        <f t="shared" si="5"/>
        <v>1</v>
      </c>
      <c r="BQ23" s="3"/>
      <c r="BR23" s="3"/>
      <c r="BS23" s="7"/>
      <c r="BT23" s="7">
        <f t="shared" si="11"/>
        <v>0.55703749999999996</v>
      </c>
      <c r="BU23" s="30"/>
      <c r="BV23" s="30"/>
      <c r="BW23" s="30"/>
      <c r="BY23" s="5" t="s">
        <v>90</v>
      </c>
      <c r="BZ23" s="5" t="s">
        <v>90</v>
      </c>
      <c r="CA23" s="5" t="s">
        <v>90</v>
      </c>
      <c r="CC23" s="21">
        <f>622857.14/100000</f>
        <v>6.2285713999999999</v>
      </c>
      <c r="CE23">
        <v>2.3909400000000001</v>
      </c>
      <c r="CG23">
        <f>1692607/100000</f>
        <v>16.926069999999999</v>
      </c>
      <c r="CI23" s="5" t="s">
        <v>91</v>
      </c>
      <c r="CK23" t="s">
        <v>91</v>
      </c>
      <c r="CM23" s="5" t="s">
        <v>105</v>
      </c>
      <c r="CO23" t="s">
        <v>91</v>
      </c>
    </row>
    <row r="24" spans="1:93" x14ac:dyDescent="0.35">
      <c r="A24" s="3" t="s">
        <v>45</v>
      </c>
      <c r="B24" s="3" t="s">
        <v>142</v>
      </c>
      <c r="C24" s="3" t="s">
        <v>127</v>
      </c>
      <c r="D24" s="25" t="s">
        <v>107</v>
      </c>
      <c r="E24" s="3" t="s">
        <v>85</v>
      </c>
      <c r="F24" s="5"/>
      <c r="G24" s="14">
        <v>32</v>
      </c>
      <c r="H24" s="7">
        <f>1.7+2.4+4.8</f>
        <v>8.8999999999999986</v>
      </c>
      <c r="I24" s="3">
        <v>-11.011614306428507</v>
      </c>
      <c r="J24" s="4">
        <f t="shared" si="0"/>
        <v>-1.2372600344301696</v>
      </c>
      <c r="K24" s="3">
        <v>100838.35645704676</v>
      </c>
      <c r="L24" s="17">
        <v>5</v>
      </c>
      <c r="M24" s="17">
        <v>27003.800000000003</v>
      </c>
      <c r="N24" s="4">
        <v>1</v>
      </c>
      <c r="O24" s="6">
        <v>2.1428571428571428</v>
      </c>
      <c r="P24" s="7">
        <v>1.3667279569892472</v>
      </c>
      <c r="Q24" s="31">
        <v>15</v>
      </c>
      <c r="R24" s="31">
        <v>0</v>
      </c>
      <c r="S24" s="31">
        <f t="shared" si="6"/>
        <v>15</v>
      </c>
      <c r="T24" s="15"/>
      <c r="U24" s="7">
        <v>29</v>
      </c>
      <c r="V24" s="7">
        <v>21</v>
      </c>
      <c r="W24" s="3">
        <v>12.361671184587284</v>
      </c>
      <c r="X24" s="4">
        <f t="shared" si="7"/>
        <v>0.58865100878987064</v>
      </c>
      <c r="Y24" s="3">
        <v>110922.19210275145</v>
      </c>
      <c r="Z24" s="17">
        <v>5</v>
      </c>
      <c r="AA24" s="17"/>
      <c r="AB24" s="17"/>
      <c r="AC24" s="3"/>
      <c r="AD24" s="7">
        <v>3.118279569892473</v>
      </c>
      <c r="AE24" s="30"/>
      <c r="AF24" s="30"/>
      <c r="AG24" s="30"/>
      <c r="AI24" s="3">
        <v>29</v>
      </c>
      <c r="AJ24" s="3">
        <v>24</v>
      </c>
      <c r="AK24" s="3">
        <v>12.361671184587284</v>
      </c>
      <c r="AL24" s="4">
        <f t="shared" si="8"/>
        <v>0.51506963269113681</v>
      </c>
      <c r="AM24" s="3">
        <v>110922.19210275145</v>
      </c>
      <c r="AN24" s="17">
        <v>5</v>
      </c>
      <c r="AO24" s="17"/>
      <c r="AP24" s="17"/>
      <c r="AQ24" s="3"/>
      <c r="AR24" s="7">
        <v>3.118279569892473</v>
      </c>
      <c r="AS24" s="30"/>
      <c r="AT24" s="30"/>
      <c r="AU24" s="30"/>
      <c r="AW24" s="17">
        <v>30</v>
      </c>
      <c r="AX24" s="17">
        <v>27</v>
      </c>
      <c r="AY24" s="17">
        <v>13.361671184587284</v>
      </c>
      <c r="AZ24" s="4">
        <v>0.44538903948624281</v>
      </c>
      <c r="BA24" s="3">
        <v>110922.19210275145</v>
      </c>
      <c r="BB24" s="17">
        <f t="shared" si="9"/>
        <v>5</v>
      </c>
      <c r="BC24" s="17"/>
      <c r="BD24" s="17"/>
      <c r="BE24" s="3"/>
      <c r="BF24" s="7">
        <v>3.225806451612903</v>
      </c>
      <c r="BG24" s="30"/>
      <c r="BH24" s="30"/>
      <c r="BI24" s="30"/>
      <c r="BK24" s="17">
        <f t="shared" si="1"/>
        <v>120</v>
      </c>
      <c r="BL24" s="17">
        <f t="shared" si="2"/>
        <v>80.900000000000006</v>
      </c>
      <c r="BM24" s="17">
        <f t="shared" si="3"/>
        <v>27.073399247333349</v>
      </c>
      <c r="BN24" s="4">
        <f t="shared" si="10"/>
        <v>0.33465264829831082</v>
      </c>
      <c r="BO24" s="3">
        <f t="shared" si="4"/>
        <v>108401.23319132529</v>
      </c>
      <c r="BP24" s="7">
        <f t="shared" si="5"/>
        <v>5</v>
      </c>
      <c r="BQ24" s="3"/>
      <c r="BR24" s="3"/>
      <c r="BS24" s="7"/>
      <c r="BT24" s="7">
        <f t="shared" si="11"/>
        <v>2.707273387096774</v>
      </c>
      <c r="BU24" s="30"/>
      <c r="BV24" s="30"/>
      <c r="BW24" s="30"/>
      <c r="BY24" s="5" t="s">
        <v>90</v>
      </c>
      <c r="BZ24" s="5" t="s">
        <v>90</v>
      </c>
      <c r="CA24" s="5" t="s">
        <v>90</v>
      </c>
      <c r="CC24" s="21"/>
      <c r="CE24">
        <v>2.4</v>
      </c>
      <c r="CG24">
        <f>10643418/100000</f>
        <v>106.43418</v>
      </c>
      <c r="CI24" s="5" t="s">
        <v>91</v>
      </c>
      <c r="CK24" t="s">
        <v>91</v>
      </c>
      <c r="CM24" s="5" t="s">
        <v>105</v>
      </c>
      <c r="CO24" t="s">
        <v>91</v>
      </c>
    </row>
    <row r="25" spans="1:93" x14ac:dyDescent="0.35">
      <c r="A25" s="3" t="s">
        <v>3</v>
      </c>
      <c r="B25" s="3" t="s">
        <v>142</v>
      </c>
      <c r="C25" s="3" t="s">
        <v>83</v>
      </c>
      <c r="D25" s="25" t="s">
        <v>107</v>
      </c>
      <c r="E25" s="3" t="s">
        <v>2</v>
      </c>
      <c r="F25" s="5"/>
      <c r="G25" s="14">
        <v>21</v>
      </c>
      <c r="H25" s="7">
        <v>28.573790000000002</v>
      </c>
      <c r="I25" s="3">
        <v>11.434882032019893</v>
      </c>
      <c r="J25" s="4">
        <f t="shared" si="0"/>
        <v>0.40018779559938994</v>
      </c>
      <c r="K25" s="3">
        <v>99879.714553386511</v>
      </c>
      <c r="L25" s="17">
        <v>5</v>
      </c>
      <c r="M25" s="17">
        <v>62779.3</v>
      </c>
      <c r="N25" s="4">
        <v>0.9</v>
      </c>
      <c r="O25" s="6">
        <v>3.375</v>
      </c>
      <c r="P25" s="7">
        <v>2.4596416666666667</v>
      </c>
      <c r="Q25" s="31">
        <v>27</v>
      </c>
      <c r="R25" s="31">
        <v>3</v>
      </c>
      <c r="S25" s="31">
        <f t="shared" si="6"/>
        <v>30</v>
      </c>
      <c r="T25" s="15"/>
      <c r="U25" s="7">
        <v>22</v>
      </c>
      <c r="V25" s="7">
        <v>25</v>
      </c>
      <c r="W25" s="3">
        <v>5.5198470986912227</v>
      </c>
      <c r="X25" s="4">
        <f t="shared" si="7"/>
        <v>0.2207938839476489</v>
      </c>
      <c r="Y25" s="3">
        <v>109867.68600872517</v>
      </c>
      <c r="Z25" s="17">
        <v>5</v>
      </c>
      <c r="AA25" s="17"/>
      <c r="AB25" s="17"/>
      <c r="AC25" s="3"/>
      <c r="AD25" s="7">
        <v>1.8333333333333333</v>
      </c>
      <c r="AE25" s="30"/>
      <c r="AF25" s="30"/>
      <c r="AG25" s="30"/>
      <c r="AI25" s="3">
        <v>22</v>
      </c>
      <c r="AJ25" s="3">
        <v>22</v>
      </c>
      <c r="AK25" s="3">
        <v>5.5198470986912227</v>
      </c>
      <c r="AL25" s="4">
        <f t="shared" si="8"/>
        <v>0.25090214084960105</v>
      </c>
      <c r="AM25" s="3">
        <v>109867.68600872517</v>
      </c>
      <c r="AN25" s="17">
        <v>5</v>
      </c>
      <c r="AO25" s="17"/>
      <c r="AP25" s="17"/>
      <c r="AQ25" s="3"/>
      <c r="AR25" s="7">
        <v>1.8333333333333333</v>
      </c>
      <c r="AS25" s="30"/>
      <c r="AT25" s="30"/>
      <c r="AU25" s="30"/>
      <c r="AW25" s="17">
        <v>21.5</v>
      </c>
      <c r="AX25" s="17">
        <v>21.5</v>
      </c>
      <c r="AY25" s="17">
        <v>5.0198470986912227</v>
      </c>
      <c r="AZ25" s="4">
        <v>0.23348126040424291</v>
      </c>
      <c r="BA25" s="3">
        <v>109867.68600872517</v>
      </c>
      <c r="BB25" s="17">
        <f t="shared" si="9"/>
        <v>5</v>
      </c>
      <c r="BC25" s="17"/>
      <c r="BD25" s="17"/>
      <c r="BE25" s="3"/>
      <c r="BF25" s="7">
        <v>1.7916666666666667</v>
      </c>
      <c r="BG25" s="30"/>
      <c r="BH25" s="30"/>
      <c r="BI25" s="30"/>
      <c r="BK25" s="17">
        <f t="shared" si="1"/>
        <v>86.5</v>
      </c>
      <c r="BL25" s="17">
        <f t="shared" si="2"/>
        <v>97.073790000000002</v>
      </c>
      <c r="BM25" s="17">
        <f t="shared" si="3"/>
        <v>27.494423328093561</v>
      </c>
      <c r="BN25" s="4">
        <f t="shared" si="10"/>
        <v>0.28323220230809532</v>
      </c>
      <c r="BO25" s="3">
        <f t="shared" si="4"/>
        <v>107370.69314489051</v>
      </c>
      <c r="BP25" s="7">
        <f t="shared" si="5"/>
        <v>5</v>
      </c>
      <c r="BQ25" s="3"/>
      <c r="BR25" s="3"/>
      <c r="BS25" s="7"/>
      <c r="BT25" s="7">
        <f t="shared" si="11"/>
        <v>1.9794937500000001</v>
      </c>
      <c r="BU25" s="30"/>
      <c r="BV25" s="30"/>
      <c r="BW25" s="30"/>
      <c r="BY25" s="5" t="s">
        <v>90</v>
      </c>
      <c r="BZ25" s="5" t="s">
        <v>90</v>
      </c>
      <c r="CA25" s="5" t="s">
        <v>90</v>
      </c>
      <c r="CC25" s="21"/>
      <c r="CE25">
        <v>0</v>
      </c>
      <c r="CG25">
        <f>1952868/100000</f>
        <v>19.528680000000001</v>
      </c>
      <c r="CI25" s="5" t="s">
        <v>91</v>
      </c>
      <c r="CK25" t="s">
        <v>90</v>
      </c>
      <c r="CM25" s="5" t="s">
        <v>105</v>
      </c>
      <c r="CO25" t="s">
        <v>91</v>
      </c>
    </row>
    <row r="26" spans="1:93" x14ac:dyDescent="0.35">
      <c r="A26" s="3" t="s">
        <v>46</v>
      </c>
      <c r="B26" s="3" t="s">
        <v>146</v>
      </c>
      <c r="C26" s="3" t="s">
        <v>146</v>
      </c>
      <c r="D26" s="2" t="s">
        <v>107</v>
      </c>
      <c r="E26" s="3" t="s">
        <v>70</v>
      </c>
      <c r="F26" s="5"/>
      <c r="G26" s="14">
        <v>48</v>
      </c>
      <c r="H26" s="7">
        <v>76.052480000000003</v>
      </c>
      <c r="I26" s="3">
        <v>15.592932069827873</v>
      </c>
      <c r="J26" s="4">
        <f t="shared" si="0"/>
        <v>0.20502858118272899</v>
      </c>
      <c r="K26" s="3">
        <v>117138.77421768615</v>
      </c>
      <c r="L26" s="17">
        <v>18.666666666666668</v>
      </c>
      <c r="M26" s="17">
        <v>80628.444444444438</v>
      </c>
      <c r="N26" s="4">
        <v>0.77777777777777779</v>
      </c>
      <c r="O26" s="6">
        <v>1.4760147601476015</v>
      </c>
      <c r="P26" s="7">
        <v>0.94555843137254891</v>
      </c>
      <c r="Q26" s="31">
        <v>56</v>
      </c>
      <c r="R26" s="31">
        <v>16</v>
      </c>
      <c r="S26" s="31">
        <f t="shared" si="6"/>
        <v>72</v>
      </c>
      <c r="T26" s="15"/>
      <c r="U26" s="7">
        <v>48</v>
      </c>
      <c r="V26" s="7">
        <v>48</v>
      </c>
      <c r="W26" s="3">
        <v>-24.157484918094681</v>
      </c>
      <c r="X26" s="4">
        <f t="shared" si="7"/>
        <v>-0.50328093579363919</v>
      </c>
      <c r="Y26" s="3">
        <v>128852.65163945478</v>
      </c>
      <c r="Z26" s="17">
        <v>18.666666666666668</v>
      </c>
      <c r="AA26" s="17"/>
      <c r="AB26" s="17"/>
      <c r="AC26" s="3"/>
      <c r="AD26" s="7">
        <v>0.94117647058823528</v>
      </c>
      <c r="AE26" s="30"/>
      <c r="AF26" s="30"/>
      <c r="AG26" s="30"/>
      <c r="AI26" s="3">
        <v>48</v>
      </c>
      <c r="AJ26" s="3">
        <v>48</v>
      </c>
      <c r="AK26" s="3">
        <v>-24.157484918094681</v>
      </c>
      <c r="AL26" s="4">
        <f t="shared" si="8"/>
        <v>-0.50328093579363919</v>
      </c>
      <c r="AM26" s="3">
        <v>128852.65163945478</v>
      </c>
      <c r="AN26" s="17">
        <v>18.666666666666668</v>
      </c>
      <c r="AO26" s="17"/>
      <c r="AP26" s="17"/>
      <c r="AQ26" s="3"/>
      <c r="AR26" s="7">
        <v>0.94117647058823528</v>
      </c>
      <c r="AS26" s="30"/>
      <c r="AT26" s="30"/>
      <c r="AU26" s="30"/>
      <c r="AW26" s="17">
        <v>48</v>
      </c>
      <c r="AX26" s="17">
        <v>48</v>
      </c>
      <c r="AY26" s="17">
        <v>-24.157484918094681</v>
      </c>
      <c r="AZ26" s="4">
        <v>-0.50328093579363919</v>
      </c>
      <c r="BA26" s="3">
        <v>128852.65163945478</v>
      </c>
      <c r="BB26" s="17">
        <f t="shared" si="9"/>
        <v>18.666666666666668</v>
      </c>
      <c r="BC26" s="17"/>
      <c r="BD26" s="17"/>
      <c r="BE26" s="3"/>
      <c r="BF26" s="7">
        <v>0.94117647058823528</v>
      </c>
      <c r="BG26" s="30"/>
      <c r="BH26" s="30"/>
      <c r="BI26" s="30"/>
      <c r="BK26" s="17">
        <f t="shared" si="1"/>
        <v>192</v>
      </c>
      <c r="BL26" s="17">
        <f t="shared" si="2"/>
        <v>220.05248</v>
      </c>
      <c r="BM26" s="17">
        <f t="shared" si="3"/>
        <v>-56.87952268445617</v>
      </c>
      <c r="BN26" s="4">
        <f t="shared" si="10"/>
        <v>-0.25848162531254437</v>
      </c>
      <c r="BO26" s="3">
        <f t="shared" si="4"/>
        <v>125924.18228401261</v>
      </c>
      <c r="BP26" s="7">
        <f t="shared" si="5"/>
        <v>18.666666666666668</v>
      </c>
      <c r="BQ26" s="3"/>
      <c r="BR26" s="3"/>
      <c r="BS26" s="7"/>
      <c r="BT26" s="7">
        <f t="shared" si="11"/>
        <v>0.94227196078431374</v>
      </c>
      <c r="BU26" s="30"/>
      <c r="BV26" s="30"/>
      <c r="BW26" s="30"/>
      <c r="BY26" s="5" t="s">
        <v>90</v>
      </c>
      <c r="BZ26" s="5" t="s">
        <v>90</v>
      </c>
      <c r="CA26" s="5" t="s">
        <v>90</v>
      </c>
      <c r="CC26" s="21"/>
      <c r="CE26">
        <v>0</v>
      </c>
      <c r="CG26">
        <f>5954090/100000</f>
        <v>59.540900000000001</v>
      </c>
      <c r="CI26" s="5" t="s">
        <v>91</v>
      </c>
      <c r="CK26" t="s">
        <v>91</v>
      </c>
      <c r="CM26" s="5" t="s">
        <v>105</v>
      </c>
      <c r="CO26" t="s">
        <v>91</v>
      </c>
    </row>
    <row r="27" spans="1:93" x14ac:dyDescent="0.35">
      <c r="A27" s="3" t="s">
        <v>63</v>
      </c>
      <c r="B27" s="3" t="s">
        <v>146</v>
      </c>
      <c r="C27" s="3" t="s">
        <v>84</v>
      </c>
      <c r="D27" s="2" t="s">
        <v>107</v>
      </c>
      <c r="E27" s="3" t="s">
        <v>70</v>
      </c>
      <c r="F27" s="5"/>
      <c r="G27" s="14">
        <v>18</v>
      </c>
      <c r="H27" s="7">
        <v>0</v>
      </c>
      <c r="I27" s="3">
        <v>0</v>
      </c>
      <c r="J27" s="4">
        <f t="shared" si="0"/>
        <v>0</v>
      </c>
      <c r="K27" s="3">
        <v>130317.5227990795</v>
      </c>
      <c r="L27" s="17">
        <v>0.33333333333333331</v>
      </c>
      <c r="M27" s="4"/>
      <c r="N27" s="4">
        <v>0</v>
      </c>
      <c r="O27" s="6" t="s">
        <v>123</v>
      </c>
      <c r="P27" s="7">
        <v>0</v>
      </c>
      <c r="Q27" s="31">
        <v>0</v>
      </c>
      <c r="R27" s="31">
        <v>0</v>
      </c>
      <c r="S27" s="31">
        <f t="shared" si="6"/>
        <v>0</v>
      </c>
      <c r="T27" s="15"/>
      <c r="U27" s="7">
        <v>4</v>
      </c>
      <c r="V27" s="7">
        <v>3</v>
      </c>
      <c r="W27" s="3">
        <v>1.5665072492101253</v>
      </c>
      <c r="X27" s="4">
        <f t="shared" si="7"/>
        <v>0.52216908307004173</v>
      </c>
      <c r="Y27" s="3">
        <v>143349.27507898747</v>
      </c>
      <c r="Z27" s="17">
        <v>0.33333333333333331</v>
      </c>
      <c r="AA27" s="17"/>
      <c r="AB27" s="17"/>
      <c r="AC27" s="3"/>
      <c r="AD27" s="7">
        <v>0</v>
      </c>
      <c r="AE27" s="30"/>
      <c r="AF27" s="30"/>
      <c r="AG27" s="30"/>
      <c r="AI27" s="3">
        <v>2</v>
      </c>
      <c r="AJ27" s="3">
        <v>2</v>
      </c>
      <c r="AK27" s="3">
        <v>0.5665072492101253</v>
      </c>
      <c r="AL27" s="4">
        <f t="shared" si="8"/>
        <v>0.28325362460506265</v>
      </c>
      <c r="AM27" s="3">
        <v>143349.27507898747</v>
      </c>
      <c r="AN27" s="17">
        <v>0.33333333333333331</v>
      </c>
      <c r="AO27" s="17"/>
      <c r="AP27" s="17"/>
      <c r="AQ27" s="3"/>
      <c r="AR27" s="7">
        <v>0</v>
      </c>
      <c r="AS27" s="30"/>
      <c r="AT27" s="30"/>
      <c r="AU27" s="30"/>
      <c r="AW27" s="17">
        <v>1</v>
      </c>
      <c r="AX27" s="17">
        <v>1</v>
      </c>
      <c r="AY27" s="17">
        <v>-0.4334927507898747</v>
      </c>
      <c r="AZ27" s="4">
        <v>-0.4334927507898747</v>
      </c>
      <c r="BA27" s="3">
        <v>143349.27507898747</v>
      </c>
      <c r="BB27" s="17">
        <f t="shared" si="9"/>
        <v>0.33333333333333331</v>
      </c>
      <c r="BC27" s="17"/>
      <c r="BD27" s="17"/>
      <c r="BE27" s="3"/>
      <c r="BF27" s="7">
        <v>0</v>
      </c>
      <c r="BG27" s="30"/>
      <c r="BH27" s="30"/>
      <c r="BI27" s="30"/>
      <c r="BK27" s="17">
        <f t="shared" si="1"/>
        <v>25</v>
      </c>
      <c r="BL27" s="17">
        <f t="shared" si="2"/>
        <v>6</v>
      </c>
      <c r="BM27" s="17">
        <f t="shared" si="3"/>
        <v>1.6995217476303759</v>
      </c>
      <c r="BN27" s="4">
        <f t="shared" si="10"/>
        <v>0.28325362460506265</v>
      </c>
      <c r="BO27" s="3">
        <f t="shared" si="4"/>
        <v>140091.33700901049</v>
      </c>
      <c r="BP27" s="7">
        <f t="shared" si="5"/>
        <v>0.33333333333333331</v>
      </c>
      <c r="BQ27" s="3"/>
      <c r="BR27" s="3"/>
      <c r="BS27" s="7"/>
      <c r="BT27" s="7">
        <f t="shared" si="11"/>
        <v>0</v>
      </c>
      <c r="BU27" s="30"/>
      <c r="BV27" s="30"/>
      <c r="BW27" s="30"/>
      <c r="BY27" s="5" t="s">
        <v>90</v>
      </c>
      <c r="BZ27" s="5" t="s">
        <v>90</v>
      </c>
      <c r="CA27" s="5" t="s">
        <v>90</v>
      </c>
      <c r="CC27" s="21"/>
      <c r="CE27">
        <v>0</v>
      </c>
      <c r="CI27" s="5" t="s">
        <v>91</v>
      </c>
      <c r="CK27" t="s">
        <v>91</v>
      </c>
      <c r="CM27" s="5" t="s">
        <v>157</v>
      </c>
      <c r="CO27" t="s">
        <v>91</v>
      </c>
    </row>
    <row r="28" spans="1:93" x14ac:dyDescent="0.35">
      <c r="A28" s="3" t="s">
        <v>47</v>
      </c>
      <c r="B28" s="3" t="s">
        <v>142</v>
      </c>
      <c r="C28" s="3" t="s">
        <v>127</v>
      </c>
      <c r="D28" s="25" t="s">
        <v>107</v>
      </c>
      <c r="E28" s="3" t="s">
        <v>85</v>
      </c>
      <c r="F28" s="5"/>
      <c r="G28" s="14">
        <v>33</v>
      </c>
      <c r="H28" s="7">
        <v>33.69</v>
      </c>
      <c r="I28" s="3">
        <v>0.52559002229670182</v>
      </c>
      <c r="J28" s="4">
        <f t="shared" si="0"/>
        <v>1.5600772404176368E-2</v>
      </c>
      <c r="K28" s="3">
        <v>83282.006813596032</v>
      </c>
      <c r="L28" s="17">
        <v>13.333333333333334</v>
      </c>
      <c r="M28" s="17">
        <v>29123.456790123455</v>
      </c>
      <c r="N28" s="4">
        <v>0.39506172839506171</v>
      </c>
      <c r="O28" s="6">
        <v>1.4222222222222223</v>
      </c>
      <c r="P28" s="7">
        <v>0.98200589970501451</v>
      </c>
      <c r="Q28" s="31">
        <v>32</v>
      </c>
      <c r="R28" s="31">
        <v>49</v>
      </c>
      <c r="S28" s="31">
        <f t="shared" si="6"/>
        <v>81</v>
      </c>
      <c r="T28" s="15"/>
      <c r="U28" s="7">
        <v>50</v>
      </c>
      <c r="V28" s="7">
        <v>50</v>
      </c>
      <c r="W28" s="3">
        <v>13.355917002017748</v>
      </c>
      <c r="X28" s="4">
        <f t="shared" si="7"/>
        <v>0.26711834004035495</v>
      </c>
      <c r="Y28" s="3">
        <v>91610.207494955641</v>
      </c>
      <c r="Z28" s="17">
        <v>13.333333333333334</v>
      </c>
      <c r="AA28" s="17"/>
      <c r="AB28" s="17"/>
      <c r="AC28" s="3"/>
      <c r="AD28" s="7">
        <v>1.4749262536873153</v>
      </c>
      <c r="AE28" s="30"/>
      <c r="AF28" s="30"/>
      <c r="AG28" s="30"/>
      <c r="AI28" s="3">
        <v>58</v>
      </c>
      <c r="AJ28" s="3">
        <v>58</v>
      </c>
      <c r="AK28" s="3">
        <v>21.355917002017748</v>
      </c>
      <c r="AL28" s="4">
        <f t="shared" si="8"/>
        <v>0.36820546555203015</v>
      </c>
      <c r="AM28" s="3">
        <v>91610.207494955641</v>
      </c>
      <c r="AN28" s="17">
        <v>13.333333333333334</v>
      </c>
      <c r="AO28" s="17"/>
      <c r="AP28" s="17"/>
      <c r="AQ28" s="3"/>
      <c r="AR28" s="7">
        <v>1.7109144542772858</v>
      </c>
      <c r="AS28" s="30"/>
      <c r="AT28" s="30"/>
      <c r="AU28" s="30"/>
      <c r="AW28" s="17">
        <v>38</v>
      </c>
      <c r="AX28" s="17">
        <v>38</v>
      </c>
      <c r="AY28" s="17">
        <v>1.3559170020177476</v>
      </c>
      <c r="AZ28" s="4">
        <v>3.5682026368888092E-2</v>
      </c>
      <c r="BA28" s="3">
        <v>91610.207494955641</v>
      </c>
      <c r="BB28" s="17">
        <f t="shared" si="9"/>
        <v>13.333333333333334</v>
      </c>
      <c r="BC28" s="17"/>
      <c r="BD28" s="17"/>
      <c r="BE28" s="3"/>
      <c r="BF28" s="7">
        <v>1.1209439528023597</v>
      </c>
      <c r="BG28" s="30"/>
      <c r="BH28" s="30"/>
      <c r="BI28" s="30"/>
      <c r="BK28" s="17">
        <f t="shared" si="1"/>
        <v>179</v>
      </c>
      <c r="BL28" s="17">
        <f t="shared" si="2"/>
        <v>179.69</v>
      </c>
      <c r="BM28" s="17">
        <f t="shared" si="3"/>
        <v>36.593341028349947</v>
      </c>
      <c r="BN28" s="4">
        <f t="shared" si="10"/>
        <v>0.2036470645464408</v>
      </c>
      <c r="BO28" s="3">
        <f t="shared" si="4"/>
        <v>89528.157324615735</v>
      </c>
      <c r="BP28" s="7">
        <f t="shared" si="5"/>
        <v>13.333333333333334</v>
      </c>
      <c r="BQ28" s="3"/>
      <c r="BR28" s="3"/>
      <c r="BS28" s="7"/>
      <c r="BT28" s="7">
        <f t="shared" si="11"/>
        <v>1.3221976401179938</v>
      </c>
      <c r="BU28" s="30"/>
      <c r="BV28" s="30"/>
      <c r="BW28" s="30"/>
      <c r="BY28" s="5" t="s">
        <v>90</v>
      </c>
      <c r="BZ28" s="5" t="s">
        <v>90</v>
      </c>
      <c r="CA28" s="5" t="s">
        <v>90</v>
      </c>
      <c r="CC28" s="21"/>
      <c r="CE28">
        <v>0</v>
      </c>
      <c r="CI28" s="5" t="s">
        <v>91</v>
      </c>
      <c r="CK28" t="s">
        <v>90</v>
      </c>
      <c r="CM28" s="5" t="s">
        <v>104</v>
      </c>
      <c r="CO28" t="s">
        <v>91</v>
      </c>
    </row>
    <row r="29" spans="1:93" x14ac:dyDescent="0.35">
      <c r="A29" s="3" t="s">
        <v>5</v>
      </c>
      <c r="B29" s="3" t="s">
        <v>142</v>
      </c>
      <c r="C29" s="3" t="s">
        <v>83</v>
      </c>
      <c r="D29" s="25" t="s">
        <v>107</v>
      </c>
      <c r="E29" s="3" t="s">
        <v>2</v>
      </c>
      <c r="F29" s="5"/>
      <c r="G29" s="14">
        <v>12</v>
      </c>
      <c r="H29" s="7">
        <v>38.650710000000004</v>
      </c>
      <c r="I29" s="3">
        <v>18.85016466071329</v>
      </c>
      <c r="J29" s="4">
        <f t="shared" si="0"/>
        <v>0.48770552108132781</v>
      </c>
      <c r="K29" s="3">
        <v>91755.335649669636</v>
      </c>
      <c r="L29" s="17">
        <v>7</v>
      </c>
      <c r="M29" s="17">
        <v>70439.470588235301</v>
      </c>
      <c r="N29" s="4">
        <v>0.94117647058823528</v>
      </c>
      <c r="O29" s="6">
        <v>1.3333333333333333</v>
      </c>
      <c r="P29" s="7">
        <v>1.0472616666666665</v>
      </c>
      <c r="Q29" s="31">
        <v>16</v>
      </c>
      <c r="R29" s="31">
        <v>1</v>
      </c>
      <c r="S29" s="31">
        <f t="shared" si="6"/>
        <v>17</v>
      </c>
      <c r="T29" s="15"/>
      <c r="U29" s="7">
        <v>16</v>
      </c>
      <c r="V29" s="7">
        <v>21.375999999999998</v>
      </c>
      <c r="W29" s="3">
        <v>-5.1954825350736868</v>
      </c>
      <c r="X29" s="4">
        <f t="shared" si="7"/>
        <v>-0.24305213955247415</v>
      </c>
      <c r="Y29" s="3">
        <v>100930.86921463661</v>
      </c>
      <c r="Z29" s="17">
        <v>7</v>
      </c>
      <c r="AA29" s="17"/>
      <c r="AB29" s="17"/>
      <c r="AC29" s="3"/>
      <c r="AD29" s="7">
        <v>0.88888888888888884</v>
      </c>
      <c r="AE29" s="30"/>
      <c r="AF29" s="30"/>
      <c r="AG29" s="30"/>
      <c r="AI29" s="3">
        <v>16</v>
      </c>
      <c r="AJ29" s="3">
        <v>16</v>
      </c>
      <c r="AK29" s="3">
        <v>-5.1954825350736868</v>
      </c>
      <c r="AL29" s="4">
        <f t="shared" si="8"/>
        <v>-0.32471765844210543</v>
      </c>
      <c r="AM29" s="3">
        <v>100930.86921463661</v>
      </c>
      <c r="AN29" s="17">
        <v>7</v>
      </c>
      <c r="AO29" s="17"/>
      <c r="AP29" s="17"/>
      <c r="AQ29" s="3"/>
      <c r="AR29" s="7">
        <v>0.88888888888888884</v>
      </c>
      <c r="AS29" s="30"/>
      <c r="AT29" s="30"/>
      <c r="AU29" s="30"/>
      <c r="AW29" s="17">
        <v>16</v>
      </c>
      <c r="AX29" s="17">
        <v>16</v>
      </c>
      <c r="AY29" s="17">
        <v>-5.1954825350736868</v>
      </c>
      <c r="AZ29" s="4">
        <v>-0.32471765844210543</v>
      </c>
      <c r="BA29" s="3">
        <v>100930.86921463661</v>
      </c>
      <c r="BB29" s="17">
        <f t="shared" si="9"/>
        <v>7</v>
      </c>
      <c r="BC29" s="17"/>
      <c r="BD29" s="17"/>
      <c r="BE29" s="3"/>
      <c r="BF29" s="7">
        <v>0.88888888888888884</v>
      </c>
      <c r="BG29" s="30"/>
      <c r="BH29" s="30"/>
      <c r="BI29" s="30"/>
      <c r="BK29" s="17">
        <f t="shared" si="1"/>
        <v>60</v>
      </c>
      <c r="BL29" s="17">
        <f t="shared" si="2"/>
        <v>92.026710000000008</v>
      </c>
      <c r="BM29" s="17">
        <f t="shared" si="3"/>
        <v>3.2637170554922292</v>
      </c>
      <c r="BN29" s="4">
        <f t="shared" si="10"/>
        <v>3.5464889003336414E-2</v>
      </c>
      <c r="BO29" s="3">
        <f t="shared" si="4"/>
        <v>98636.985823394876</v>
      </c>
      <c r="BP29" s="7">
        <f t="shared" si="5"/>
        <v>7</v>
      </c>
      <c r="BQ29" s="3"/>
      <c r="BR29" s="3"/>
      <c r="BS29" s="7"/>
      <c r="BT29" s="7">
        <f t="shared" si="11"/>
        <v>0.92848208333333326</v>
      </c>
      <c r="BU29" s="30"/>
      <c r="BV29" s="30"/>
      <c r="BW29" s="30"/>
      <c r="BY29" s="5" t="s">
        <v>90</v>
      </c>
      <c r="BZ29" s="5" t="s">
        <v>90</v>
      </c>
      <c r="CA29" s="5" t="s">
        <v>90</v>
      </c>
      <c r="CC29" s="21"/>
      <c r="CE29">
        <v>6.48</v>
      </c>
      <c r="CG29">
        <f>1992034/100000</f>
        <v>19.920339999999999</v>
      </c>
      <c r="CI29" s="5" t="s">
        <v>91</v>
      </c>
      <c r="CK29" t="s">
        <v>91</v>
      </c>
      <c r="CM29" s="5" t="s">
        <v>105</v>
      </c>
      <c r="CO29" t="s">
        <v>91</v>
      </c>
    </row>
    <row r="30" spans="1:93" x14ac:dyDescent="0.35">
      <c r="A30" s="3" t="s">
        <v>21</v>
      </c>
      <c r="B30" s="3" t="s">
        <v>142</v>
      </c>
      <c r="C30" s="3" t="s">
        <v>84</v>
      </c>
      <c r="D30" s="26" t="s">
        <v>107</v>
      </c>
      <c r="E30" s="3" t="s">
        <v>2</v>
      </c>
      <c r="F30" s="5"/>
      <c r="G30" s="14">
        <v>3</v>
      </c>
      <c r="H30" s="7">
        <v>1.8</v>
      </c>
      <c r="I30" s="3">
        <v>1.8</v>
      </c>
      <c r="J30" s="4">
        <f t="shared" si="0"/>
        <v>1</v>
      </c>
      <c r="K30" s="3">
        <v>110000</v>
      </c>
      <c r="L30" s="17">
        <v>0</v>
      </c>
      <c r="M30" s="4"/>
      <c r="N30" s="4">
        <v>0</v>
      </c>
      <c r="O30" s="6" t="s">
        <v>123</v>
      </c>
      <c r="P30" s="7">
        <v>0</v>
      </c>
      <c r="Q30" s="31">
        <v>0</v>
      </c>
      <c r="R30" s="31">
        <v>0</v>
      </c>
      <c r="S30" s="31">
        <f t="shared" si="6"/>
        <v>0</v>
      </c>
      <c r="T30" s="15"/>
      <c r="U30" s="7">
        <v>3</v>
      </c>
      <c r="V30" s="7">
        <v>5</v>
      </c>
      <c r="W30" s="3">
        <v>3</v>
      </c>
      <c r="X30" s="4">
        <f t="shared" si="7"/>
        <v>0.6</v>
      </c>
      <c r="Y30" s="3">
        <v>121000.00000000001</v>
      </c>
      <c r="Z30" s="17">
        <v>0</v>
      </c>
      <c r="AA30" s="17"/>
      <c r="AB30" s="17"/>
      <c r="AC30" s="3"/>
      <c r="AD30" s="7">
        <v>0</v>
      </c>
      <c r="AE30" s="30"/>
      <c r="AF30" s="30"/>
      <c r="AG30" s="30"/>
      <c r="AI30" s="3">
        <v>2</v>
      </c>
      <c r="AJ30" s="3">
        <v>2</v>
      </c>
      <c r="AK30" s="3">
        <v>2</v>
      </c>
      <c r="AL30" s="4">
        <f t="shared" si="8"/>
        <v>1</v>
      </c>
      <c r="AM30" s="3">
        <v>133100.00000000003</v>
      </c>
      <c r="AN30" s="17">
        <v>0</v>
      </c>
      <c r="AO30" s="17"/>
      <c r="AP30" s="17"/>
      <c r="AQ30" s="3"/>
      <c r="AR30" s="7">
        <v>0</v>
      </c>
      <c r="AS30" s="30"/>
      <c r="AT30" s="30"/>
      <c r="AU30" s="30"/>
      <c r="AW30" s="17">
        <v>2</v>
      </c>
      <c r="AX30" s="17">
        <v>2</v>
      </c>
      <c r="AY30" s="17">
        <v>2</v>
      </c>
      <c r="AZ30" s="4">
        <v>1</v>
      </c>
      <c r="BA30" s="3">
        <v>146410.00000000006</v>
      </c>
      <c r="BB30" s="17">
        <f t="shared" si="9"/>
        <v>0</v>
      </c>
      <c r="BC30" s="17"/>
      <c r="BD30" s="17"/>
      <c r="BE30" s="3"/>
      <c r="BF30" s="7">
        <v>0</v>
      </c>
      <c r="BG30" s="30"/>
      <c r="BH30" s="30"/>
      <c r="BI30" s="30"/>
      <c r="BK30" s="17">
        <f t="shared" si="1"/>
        <v>10</v>
      </c>
      <c r="BL30" s="17">
        <f t="shared" si="2"/>
        <v>10.8</v>
      </c>
      <c r="BM30" s="17">
        <f t="shared" si="3"/>
        <v>8.8000000000000007</v>
      </c>
      <c r="BN30" s="4">
        <f t="shared" si="10"/>
        <v>0.81481481481481488</v>
      </c>
      <c r="BO30" s="3">
        <f t="shared" si="4"/>
        <v>127627.50000000001</v>
      </c>
      <c r="BP30" s="7">
        <f t="shared" si="5"/>
        <v>0</v>
      </c>
      <c r="BQ30" s="3"/>
      <c r="BR30" s="3"/>
      <c r="BS30" s="7"/>
      <c r="BT30" s="7">
        <f t="shared" si="11"/>
        <v>0</v>
      </c>
      <c r="BU30" s="30"/>
      <c r="BV30" s="30"/>
      <c r="BW30" s="30"/>
      <c r="BY30" s="5" t="s">
        <v>90</v>
      </c>
      <c r="BZ30" s="5" t="s">
        <v>90</v>
      </c>
      <c r="CA30" s="5" t="s">
        <v>90</v>
      </c>
      <c r="CC30" s="21"/>
      <c r="CE30">
        <v>0</v>
      </c>
      <c r="CI30" s="5" t="s">
        <v>91</v>
      </c>
      <c r="CK30" t="s">
        <v>91</v>
      </c>
      <c r="CM30" s="5" t="s">
        <v>157</v>
      </c>
      <c r="CO30" t="s">
        <v>91</v>
      </c>
    </row>
    <row r="31" spans="1:93" x14ac:dyDescent="0.35">
      <c r="A31" s="3" t="s">
        <v>48</v>
      </c>
      <c r="B31" s="3" t="s">
        <v>142</v>
      </c>
      <c r="C31" s="3" t="s">
        <v>127</v>
      </c>
      <c r="D31" s="25" t="s">
        <v>107</v>
      </c>
      <c r="E31" s="3" t="s">
        <v>85</v>
      </c>
      <c r="F31" s="5"/>
      <c r="G31" s="14">
        <v>100</v>
      </c>
      <c r="H31" s="7">
        <v>85.5</v>
      </c>
      <c r="I31" s="3">
        <v>7.9086017138790785</v>
      </c>
      <c r="J31" s="4">
        <f t="shared" si="0"/>
        <v>9.249826565940443E-2</v>
      </c>
      <c r="K31" s="3">
        <v>92547.060993046674</v>
      </c>
      <c r="L31" s="17">
        <v>27.666666666666668</v>
      </c>
      <c r="M31" s="17">
        <v>40460.526315789473</v>
      </c>
      <c r="N31" s="4">
        <v>0.88157894736842102</v>
      </c>
      <c r="O31" s="6">
        <v>2.8329809725158563</v>
      </c>
      <c r="P31" s="7">
        <v>0.97046413502109707</v>
      </c>
      <c r="Q31" s="31">
        <v>134</v>
      </c>
      <c r="R31" s="31">
        <v>18</v>
      </c>
      <c r="S31" s="31">
        <f t="shared" si="6"/>
        <v>152</v>
      </c>
      <c r="T31" s="15"/>
      <c r="U31" s="7">
        <v>127</v>
      </c>
      <c r="V31" s="7">
        <v>127</v>
      </c>
      <c r="W31" s="3">
        <v>42.504533313348389</v>
      </c>
      <c r="X31" s="4">
        <f t="shared" si="7"/>
        <v>0.33468136467203458</v>
      </c>
      <c r="Y31" s="3">
        <v>101801.76709235135</v>
      </c>
      <c r="Z31" s="17">
        <v>27.666666666666668</v>
      </c>
      <c r="AA31" s="17"/>
      <c r="AB31" s="17"/>
      <c r="AC31" s="3"/>
      <c r="AD31" s="7">
        <v>1.7862165963431789</v>
      </c>
      <c r="AE31" s="30"/>
      <c r="AF31" s="30"/>
      <c r="AG31" s="30"/>
      <c r="AI31" s="3">
        <v>133</v>
      </c>
      <c r="AJ31" s="3">
        <v>133</v>
      </c>
      <c r="AK31" s="3">
        <v>48.504533313348389</v>
      </c>
      <c r="AL31" s="4">
        <f t="shared" si="8"/>
        <v>0.36469573919810822</v>
      </c>
      <c r="AM31" s="3">
        <v>101801.76709235135</v>
      </c>
      <c r="AN31" s="17">
        <v>27.666666666666668</v>
      </c>
      <c r="AO31" s="17"/>
      <c r="AP31" s="17"/>
      <c r="AQ31" s="3"/>
      <c r="AR31" s="7">
        <v>1.8706047819971872</v>
      </c>
      <c r="AS31" s="30"/>
      <c r="AT31" s="30"/>
      <c r="AU31" s="30"/>
      <c r="AW31" s="17">
        <v>120</v>
      </c>
      <c r="AX31" s="17">
        <v>120</v>
      </c>
      <c r="AY31" s="17">
        <v>35.504533313348389</v>
      </c>
      <c r="AZ31" s="4">
        <v>0.29587111094456992</v>
      </c>
      <c r="BA31" s="3">
        <v>101801.76709235135</v>
      </c>
      <c r="BB31" s="17">
        <f t="shared" si="9"/>
        <v>27.666666666666668</v>
      </c>
      <c r="BC31" s="17"/>
      <c r="BD31" s="17"/>
      <c r="BE31" s="3"/>
      <c r="BF31" s="7">
        <v>1.6877637130801688</v>
      </c>
      <c r="BG31" s="30"/>
      <c r="BH31" s="30"/>
      <c r="BI31" s="30"/>
      <c r="BK31" s="17">
        <f t="shared" si="1"/>
        <v>480</v>
      </c>
      <c r="BL31" s="17">
        <f t="shared" si="2"/>
        <v>465.5</v>
      </c>
      <c r="BM31" s="17">
        <f t="shared" si="3"/>
        <v>134.42220165392425</v>
      </c>
      <c r="BN31" s="4">
        <f t="shared" si="10"/>
        <v>0.28876949871949353</v>
      </c>
      <c r="BO31" s="3">
        <f t="shared" si="4"/>
        <v>99488.090567525171</v>
      </c>
      <c r="BP31" s="7">
        <f t="shared" si="5"/>
        <v>27.666666666666668</v>
      </c>
      <c r="BQ31" s="3"/>
      <c r="BR31" s="3"/>
      <c r="BS31" s="7"/>
      <c r="BT31" s="7">
        <f t="shared" si="11"/>
        <v>1.578762306610408</v>
      </c>
      <c r="BU31" s="30"/>
      <c r="BV31" s="30"/>
      <c r="BW31" s="30"/>
      <c r="BY31" s="5" t="s">
        <v>90</v>
      </c>
      <c r="BZ31" s="5" t="s">
        <v>90</v>
      </c>
      <c r="CA31" s="5" t="s">
        <v>90</v>
      </c>
      <c r="CC31" s="21"/>
      <c r="CE31">
        <v>0</v>
      </c>
      <c r="CI31" s="5" t="s">
        <v>91</v>
      </c>
      <c r="CK31" t="s">
        <v>90</v>
      </c>
      <c r="CM31" s="5" t="s">
        <v>97</v>
      </c>
      <c r="CO31" t="s">
        <v>90</v>
      </c>
    </row>
    <row r="32" spans="1:93" x14ac:dyDescent="0.35">
      <c r="A32" s="3" t="s">
        <v>14</v>
      </c>
      <c r="B32" s="3" t="s">
        <v>142</v>
      </c>
      <c r="C32" s="3" t="s">
        <v>83</v>
      </c>
      <c r="D32" s="27" t="s">
        <v>107</v>
      </c>
      <c r="E32" s="3" t="s">
        <v>2</v>
      </c>
      <c r="F32" s="5"/>
      <c r="G32" s="14">
        <v>62.730000000000004</v>
      </c>
      <c r="H32" s="7">
        <v>81.44</v>
      </c>
      <c r="I32" s="3">
        <v>42.219705322800287</v>
      </c>
      <c r="J32" s="4">
        <f t="shared" si="0"/>
        <v>0.5184148492485301</v>
      </c>
      <c r="K32" s="3">
        <v>87949.115935818816</v>
      </c>
      <c r="L32" s="17">
        <v>14.333333333333334</v>
      </c>
      <c r="M32" s="17">
        <v>24665.289256198346</v>
      </c>
      <c r="N32" s="4">
        <v>0.27272727272727271</v>
      </c>
      <c r="O32" s="6">
        <v>2.4444444444444446</v>
      </c>
      <c r="P32" s="7">
        <v>2.1102564102564103</v>
      </c>
      <c r="Q32" s="31">
        <v>66</v>
      </c>
      <c r="R32" s="31">
        <v>176</v>
      </c>
      <c r="S32" s="31">
        <f t="shared" si="6"/>
        <v>242</v>
      </c>
      <c r="T32" s="15"/>
      <c r="U32" s="7">
        <v>63.39</v>
      </c>
      <c r="V32" s="7">
        <v>63.379999999999995</v>
      </c>
      <c r="W32" s="3">
        <v>21.790068162357699</v>
      </c>
      <c r="X32" s="4">
        <f t="shared" si="7"/>
        <v>0.34380038123000473</v>
      </c>
      <c r="Y32" s="3">
        <v>96744.027529400701</v>
      </c>
      <c r="Z32" s="17">
        <v>14.333333333333334</v>
      </c>
      <c r="AA32" s="17"/>
      <c r="AB32" s="17"/>
      <c r="AC32" s="3"/>
      <c r="AD32" s="7">
        <v>1.6253846153846154</v>
      </c>
      <c r="AE32" s="30"/>
      <c r="AF32" s="30"/>
      <c r="AG32" s="30"/>
      <c r="AI32" s="3">
        <v>59.099999999999994</v>
      </c>
      <c r="AJ32" s="3">
        <v>59.099999999999994</v>
      </c>
      <c r="AK32" s="3">
        <v>17.500068162357692</v>
      </c>
      <c r="AL32" s="4">
        <f t="shared" si="8"/>
        <v>0.29610944437153458</v>
      </c>
      <c r="AM32" s="3">
        <v>96744.027529400701</v>
      </c>
      <c r="AN32" s="17">
        <v>14.333333333333334</v>
      </c>
      <c r="AO32" s="17"/>
      <c r="AP32" s="17"/>
      <c r="AQ32" s="3"/>
      <c r="AR32" s="7">
        <v>1.5153846153846153</v>
      </c>
      <c r="AS32" s="30"/>
      <c r="AT32" s="30"/>
      <c r="AU32" s="30"/>
      <c r="AW32" s="17">
        <v>60.75</v>
      </c>
      <c r="AX32" s="17">
        <v>60.75</v>
      </c>
      <c r="AY32" s="17">
        <v>19.150068162357698</v>
      </c>
      <c r="AZ32" s="4">
        <v>0.31522745946267816</v>
      </c>
      <c r="BA32" s="3">
        <v>96744.027529400701</v>
      </c>
      <c r="BB32" s="17">
        <f t="shared" si="9"/>
        <v>14.333333333333334</v>
      </c>
      <c r="BC32" s="17"/>
      <c r="BD32" s="17"/>
      <c r="BE32" s="3"/>
      <c r="BF32" s="7">
        <v>1.5576923076923077</v>
      </c>
      <c r="BG32" s="30"/>
      <c r="BH32" s="30"/>
      <c r="BI32" s="30"/>
      <c r="BK32" s="17">
        <f t="shared" si="1"/>
        <v>245.97000000000003</v>
      </c>
      <c r="BL32" s="17">
        <f t="shared" si="2"/>
        <v>264.66999999999996</v>
      </c>
      <c r="BM32" s="17">
        <f t="shared" si="3"/>
        <v>100.65990980987337</v>
      </c>
      <c r="BN32" s="4">
        <f t="shared" si="10"/>
        <v>0.38032232519693726</v>
      </c>
      <c r="BO32" s="3">
        <f t="shared" si="4"/>
        <v>94545.29963100524</v>
      </c>
      <c r="BP32" s="7">
        <f t="shared" si="5"/>
        <v>14.333333333333334</v>
      </c>
      <c r="BQ32" s="3"/>
      <c r="BR32" s="3"/>
      <c r="BS32" s="7"/>
      <c r="BT32" s="7">
        <f t="shared" si="11"/>
        <v>1.7021794871794871</v>
      </c>
      <c r="BU32" s="30"/>
      <c r="BV32" s="30"/>
      <c r="BW32" s="30"/>
      <c r="BY32" s="5" t="s">
        <v>90</v>
      </c>
      <c r="BZ32" s="5" t="s">
        <v>90</v>
      </c>
      <c r="CA32" s="5" t="s">
        <v>90</v>
      </c>
      <c r="CC32" s="21">
        <f>1192000/100000</f>
        <v>11.92</v>
      </c>
      <c r="CE32">
        <v>28.89</v>
      </c>
      <c r="CI32" s="5" t="s">
        <v>91</v>
      </c>
      <c r="CK32" t="s">
        <v>91</v>
      </c>
      <c r="CM32" s="5" t="s">
        <v>96</v>
      </c>
      <c r="CO32" t="s">
        <v>91</v>
      </c>
    </row>
    <row r="33" spans="1:93" x14ac:dyDescent="0.35">
      <c r="A33" s="3" t="s">
        <v>15</v>
      </c>
      <c r="B33" s="3" t="s">
        <v>142</v>
      </c>
      <c r="C33" s="3" t="s">
        <v>83</v>
      </c>
      <c r="D33" s="25" t="s">
        <v>107</v>
      </c>
      <c r="E33" s="3" t="s">
        <v>2</v>
      </c>
      <c r="F33" s="5"/>
      <c r="G33" s="14">
        <v>3.5</v>
      </c>
      <c r="H33" s="7">
        <v>0</v>
      </c>
      <c r="I33" s="3">
        <v>-3.3162236856532989</v>
      </c>
      <c r="J33" s="4">
        <f t="shared" si="0"/>
        <v>0</v>
      </c>
      <c r="K33" s="3">
        <v>122240.75445787013</v>
      </c>
      <c r="L33" s="17">
        <v>1</v>
      </c>
      <c r="M33" s="4"/>
      <c r="N33" s="4">
        <v>0</v>
      </c>
      <c r="O33" s="6">
        <v>0</v>
      </c>
      <c r="P33" s="7">
        <v>0</v>
      </c>
      <c r="Q33" s="31">
        <v>0</v>
      </c>
      <c r="R33" s="31">
        <v>0</v>
      </c>
      <c r="S33" s="31">
        <f t="shared" si="6"/>
        <v>0</v>
      </c>
      <c r="T33" s="15"/>
      <c r="U33" s="7">
        <v>3.5</v>
      </c>
      <c r="V33" s="7">
        <v>0</v>
      </c>
      <c r="W33" s="3">
        <v>-0.53394489710971449</v>
      </c>
      <c r="X33" s="4">
        <f t="shared" si="7"/>
        <v>0</v>
      </c>
      <c r="Y33" s="3">
        <v>134464.82990365717</v>
      </c>
      <c r="Z33" s="17">
        <v>1</v>
      </c>
      <c r="AA33" s="17"/>
      <c r="AB33" s="17"/>
      <c r="AC33" s="3"/>
      <c r="AD33" s="7">
        <v>1.1666666666666667</v>
      </c>
      <c r="AE33" s="30"/>
      <c r="AF33" s="30"/>
      <c r="AG33" s="30"/>
      <c r="AI33" s="3">
        <v>3.5</v>
      </c>
      <c r="AJ33" s="3">
        <v>3.5</v>
      </c>
      <c r="AK33" s="3">
        <v>-0.53394489710971449</v>
      </c>
      <c r="AL33" s="4">
        <f t="shared" si="8"/>
        <v>-0.15255568488848986</v>
      </c>
      <c r="AM33" s="3">
        <v>134464.82990365717</v>
      </c>
      <c r="AN33" s="17">
        <v>1</v>
      </c>
      <c r="AO33" s="17"/>
      <c r="AP33" s="17"/>
      <c r="AQ33" s="3"/>
      <c r="AR33" s="7">
        <v>1.1666666666666667</v>
      </c>
      <c r="AS33" s="30"/>
      <c r="AT33" s="30"/>
      <c r="AU33" s="30"/>
      <c r="AW33" s="17">
        <v>3</v>
      </c>
      <c r="AX33" s="17">
        <v>3</v>
      </c>
      <c r="AY33" s="17">
        <v>-1.0339448971097145</v>
      </c>
      <c r="AZ33" s="4">
        <v>-0.34464829903657151</v>
      </c>
      <c r="BA33" s="3">
        <v>134464.82990365717</v>
      </c>
      <c r="BB33" s="17">
        <f t="shared" si="9"/>
        <v>1</v>
      </c>
      <c r="BC33" s="17"/>
      <c r="BD33" s="17"/>
      <c r="BE33" s="3"/>
      <c r="BF33" s="7">
        <v>1</v>
      </c>
      <c r="BG33" s="30"/>
      <c r="BH33" s="30"/>
      <c r="BI33" s="30"/>
      <c r="BK33" s="17">
        <f t="shared" si="1"/>
        <v>13.5</v>
      </c>
      <c r="BL33" s="17">
        <f t="shared" si="2"/>
        <v>6.5</v>
      </c>
      <c r="BM33" s="17">
        <f t="shared" si="3"/>
        <v>-5.418058376982442</v>
      </c>
      <c r="BN33" s="4">
        <f t="shared" si="10"/>
        <v>-0.83354744261268343</v>
      </c>
      <c r="BO33" s="3">
        <f t="shared" si="4"/>
        <v>131408.81104221041</v>
      </c>
      <c r="BP33" s="7">
        <f t="shared" si="5"/>
        <v>1</v>
      </c>
      <c r="BQ33" s="3"/>
      <c r="BR33" s="3"/>
      <c r="BS33" s="7"/>
      <c r="BT33" s="7">
        <f t="shared" si="11"/>
        <v>0.83333333333333337</v>
      </c>
      <c r="BU33" s="30"/>
      <c r="BV33" s="30"/>
      <c r="BW33" s="30"/>
      <c r="BY33" s="5" t="s">
        <v>90</v>
      </c>
      <c r="BZ33" s="5" t="s">
        <v>90</v>
      </c>
      <c r="CA33" s="5" t="s">
        <v>90</v>
      </c>
      <c r="CC33" s="21"/>
      <c r="CE33">
        <v>0</v>
      </c>
      <c r="CG33">
        <f>417121/100000</f>
        <v>4.1712100000000003</v>
      </c>
      <c r="CI33" s="5" t="s">
        <v>91</v>
      </c>
      <c r="CK33" t="s">
        <v>91</v>
      </c>
      <c r="CM33" s="5" t="s">
        <v>105</v>
      </c>
      <c r="CO33" t="s">
        <v>91</v>
      </c>
    </row>
    <row r="34" spans="1:93" x14ac:dyDescent="0.35">
      <c r="A34" s="3" t="s">
        <v>16</v>
      </c>
      <c r="B34" s="3" t="s">
        <v>142</v>
      </c>
      <c r="C34" s="3" t="s">
        <v>83</v>
      </c>
      <c r="D34" s="25" t="s">
        <v>107</v>
      </c>
      <c r="E34" s="3" t="s">
        <v>2</v>
      </c>
      <c r="F34" s="5"/>
      <c r="G34" s="14">
        <v>0</v>
      </c>
      <c r="H34" s="7">
        <v>3.2240000000000002</v>
      </c>
      <c r="I34" s="3">
        <v>3.2240000000000002</v>
      </c>
      <c r="J34" s="4">
        <f t="shared" si="0"/>
        <v>1</v>
      </c>
      <c r="K34" s="3">
        <v>0</v>
      </c>
      <c r="L34" s="17">
        <v>0</v>
      </c>
      <c r="M34" s="4"/>
      <c r="N34" s="4">
        <v>0</v>
      </c>
      <c r="O34" s="6" t="s">
        <v>123</v>
      </c>
      <c r="P34" s="7">
        <v>0</v>
      </c>
      <c r="Q34" s="31">
        <v>0</v>
      </c>
      <c r="R34" s="31">
        <v>0</v>
      </c>
      <c r="S34" s="31">
        <f t="shared" si="6"/>
        <v>0</v>
      </c>
      <c r="T34" s="15"/>
      <c r="U34" s="7">
        <v>0</v>
      </c>
      <c r="V34" s="7">
        <v>0</v>
      </c>
      <c r="W34" s="3">
        <v>0</v>
      </c>
      <c r="X34" s="4">
        <f t="shared" si="7"/>
        <v>0</v>
      </c>
      <c r="Y34" s="3">
        <v>0</v>
      </c>
      <c r="Z34" s="17">
        <v>0</v>
      </c>
      <c r="AA34" s="17"/>
      <c r="AB34" s="17"/>
      <c r="AC34" s="3"/>
      <c r="AD34" s="7">
        <v>0</v>
      </c>
      <c r="AE34" s="30"/>
      <c r="AF34" s="30"/>
      <c r="AG34" s="30"/>
      <c r="AI34" s="3">
        <v>0</v>
      </c>
      <c r="AJ34" s="3">
        <v>0</v>
      </c>
      <c r="AK34" s="3">
        <v>0</v>
      </c>
      <c r="AL34" s="4">
        <f t="shared" si="8"/>
        <v>0</v>
      </c>
      <c r="AM34" s="3">
        <v>0</v>
      </c>
      <c r="AN34" s="17">
        <v>0</v>
      </c>
      <c r="AO34" s="17"/>
      <c r="AP34" s="17"/>
      <c r="AQ34" s="3"/>
      <c r="AR34" s="7">
        <v>0</v>
      </c>
      <c r="AS34" s="30"/>
      <c r="AT34" s="30"/>
      <c r="AU34" s="30"/>
      <c r="AW34" s="17">
        <v>0</v>
      </c>
      <c r="AX34" s="17">
        <v>0</v>
      </c>
      <c r="AY34" s="17">
        <v>0</v>
      </c>
      <c r="AZ34" s="4">
        <v>0</v>
      </c>
      <c r="BA34" s="3">
        <v>0</v>
      </c>
      <c r="BB34" s="17">
        <f t="shared" si="9"/>
        <v>0</v>
      </c>
      <c r="BC34" s="17"/>
      <c r="BD34" s="17"/>
      <c r="BE34" s="3"/>
      <c r="BF34" s="7">
        <v>0</v>
      </c>
      <c r="BG34" s="30"/>
      <c r="BH34" s="30"/>
      <c r="BI34" s="30"/>
      <c r="BK34" s="17">
        <f t="shared" si="1"/>
        <v>0</v>
      </c>
      <c r="BL34" s="17">
        <f t="shared" si="2"/>
        <v>3.2240000000000002</v>
      </c>
      <c r="BM34" s="17">
        <f t="shared" si="3"/>
        <v>3.2240000000000002</v>
      </c>
      <c r="BN34" s="4">
        <f t="shared" si="10"/>
        <v>1</v>
      </c>
      <c r="BO34" s="3">
        <f t="shared" si="4"/>
        <v>0</v>
      </c>
      <c r="BP34" s="7">
        <f t="shared" si="5"/>
        <v>0</v>
      </c>
      <c r="BQ34" s="3"/>
      <c r="BR34" s="3"/>
      <c r="BS34" s="7"/>
      <c r="BT34" s="7">
        <f t="shared" si="11"/>
        <v>0</v>
      </c>
      <c r="BU34" s="30"/>
      <c r="BV34" s="30"/>
      <c r="BW34" s="30"/>
      <c r="BY34" s="5" t="s">
        <v>90</v>
      </c>
      <c r="BZ34" s="5" t="s">
        <v>90</v>
      </c>
      <c r="CA34" s="5" t="s">
        <v>90</v>
      </c>
      <c r="CC34" s="21"/>
      <c r="CE34">
        <v>3.2240000000000002</v>
      </c>
      <c r="CI34" s="5" t="s">
        <v>91</v>
      </c>
      <c r="CK34" t="s">
        <v>91</v>
      </c>
      <c r="CM34" s="5" t="s">
        <v>105</v>
      </c>
      <c r="CO34" t="s">
        <v>91</v>
      </c>
    </row>
    <row r="35" spans="1:93" x14ac:dyDescent="0.35">
      <c r="A35" s="3" t="s">
        <v>49</v>
      </c>
      <c r="B35" s="3" t="s">
        <v>142</v>
      </c>
      <c r="C35" s="3" t="s">
        <v>83</v>
      </c>
      <c r="D35" s="25" t="s">
        <v>107</v>
      </c>
      <c r="E35" s="3" t="s">
        <v>2</v>
      </c>
      <c r="F35" s="5"/>
      <c r="G35" s="14">
        <v>8.6</v>
      </c>
      <c r="H35" s="7">
        <v>8.59</v>
      </c>
      <c r="I35" s="3">
        <v>2.6417004315868278</v>
      </c>
      <c r="J35" s="4">
        <f t="shared" ref="J35:J55" si="12">IFERROR(I35/H35,0)</f>
        <v>0.30753206421266915</v>
      </c>
      <c r="K35" s="3">
        <v>95201.325533781623</v>
      </c>
      <c r="L35" s="17">
        <v>2.3333333333333335</v>
      </c>
      <c r="M35" s="17">
        <v>65900</v>
      </c>
      <c r="N35" s="4">
        <v>0.5</v>
      </c>
      <c r="O35" s="6">
        <v>1.2195121951219514</v>
      </c>
      <c r="P35" s="7">
        <v>1.2174603174603174</v>
      </c>
      <c r="Q35" s="31">
        <v>5</v>
      </c>
      <c r="R35" s="31">
        <v>5</v>
      </c>
      <c r="S35" s="31">
        <f t="shared" si="6"/>
        <v>10</v>
      </c>
      <c r="T35" s="15"/>
      <c r="U35" s="7">
        <v>9.1</v>
      </c>
      <c r="V35" s="7">
        <v>9.1</v>
      </c>
      <c r="W35" s="3">
        <v>1.7694979338988146</v>
      </c>
      <c r="X35" s="4">
        <f t="shared" si="7"/>
        <v>0.19445032240646315</v>
      </c>
      <c r="Y35" s="3">
        <v>104721.45808715979</v>
      </c>
      <c r="Z35" s="17">
        <v>2.3333333333333335</v>
      </c>
      <c r="AA35" s="17"/>
      <c r="AB35" s="17"/>
      <c r="AC35" s="3"/>
      <c r="AD35" s="7">
        <v>1.4444444444444442</v>
      </c>
      <c r="AE35" s="30"/>
      <c r="AF35" s="30"/>
      <c r="AG35" s="30"/>
      <c r="AI35" s="3">
        <v>11</v>
      </c>
      <c r="AJ35" s="3">
        <v>11</v>
      </c>
      <c r="AK35" s="3">
        <v>3.669497933898815</v>
      </c>
      <c r="AL35" s="4">
        <f t="shared" si="8"/>
        <v>0.33359072126352862</v>
      </c>
      <c r="AM35" s="3">
        <v>104721.45808715979</v>
      </c>
      <c r="AN35" s="17">
        <v>2.3333333333333335</v>
      </c>
      <c r="AO35" s="17"/>
      <c r="AP35" s="17"/>
      <c r="AQ35" s="3"/>
      <c r="AR35" s="7">
        <v>1.7460317460317458</v>
      </c>
      <c r="AS35" s="30"/>
      <c r="AT35" s="30"/>
      <c r="AU35" s="30"/>
      <c r="AW35" s="17">
        <v>12.399999999999999</v>
      </c>
      <c r="AX35" s="17">
        <v>12.399999999999999</v>
      </c>
      <c r="AY35" s="17">
        <v>5.0694979338988135</v>
      </c>
      <c r="AZ35" s="4">
        <v>0.40883047854022697</v>
      </c>
      <c r="BA35" s="3">
        <v>104721.45808715979</v>
      </c>
      <c r="BB35" s="17">
        <f t="shared" si="9"/>
        <v>2.3333333333333335</v>
      </c>
      <c r="BC35" s="17"/>
      <c r="BD35" s="17"/>
      <c r="BE35" s="3"/>
      <c r="BF35" s="7">
        <v>1.9682539682539677</v>
      </c>
      <c r="BG35" s="30"/>
      <c r="BH35" s="30"/>
      <c r="BI35" s="30"/>
      <c r="BK35" s="17">
        <f t="shared" ref="BK35:BK55" si="13">U35+AI35+AW35+G35</f>
        <v>41.1</v>
      </c>
      <c r="BL35" s="17">
        <f t="shared" ref="BL35:BL55" si="14">V35+AJ35+AX35+H35</f>
        <v>41.09</v>
      </c>
      <c r="BM35" s="17">
        <f t="shared" ref="BM35:BM55" si="15">W35+AK35+AY35+I35</f>
        <v>13.150194233283269</v>
      </c>
      <c r="BN35" s="4">
        <f t="shared" si="10"/>
        <v>0.32003393120669915</v>
      </c>
      <c r="BO35" s="3">
        <f t="shared" ref="BO35:BO63" si="16">AVERAGE(K35,Y35,AM35,BA35)</f>
        <v>102341.42494881524</v>
      </c>
      <c r="BP35" s="7">
        <f t="shared" ref="BP35:BP60" si="17">AVERAGE(L35,Z35,AN35,BB35)</f>
        <v>2.3333333333333335</v>
      </c>
      <c r="BQ35" s="3"/>
      <c r="BR35" s="3"/>
      <c r="BS35" s="7"/>
      <c r="BT35" s="7">
        <f t="shared" si="11"/>
        <v>1.5940476190476187</v>
      </c>
      <c r="BU35" s="30"/>
      <c r="BV35" s="30"/>
      <c r="BW35" s="30"/>
      <c r="BY35" s="5" t="s">
        <v>90</v>
      </c>
      <c r="BZ35" s="5" t="s">
        <v>90</v>
      </c>
      <c r="CA35" s="5" t="s">
        <v>90</v>
      </c>
      <c r="CC35" s="21"/>
      <c r="CE35">
        <v>0</v>
      </c>
      <c r="CI35" s="5" t="s">
        <v>91</v>
      </c>
      <c r="CK35" t="s">
        <v>90</v>
      </c>
      <c r="CM35" s="5" t="s">
        <v>97</v>
      </c>
      <c r="CO35" t="s">
        <v>91</v>
      </c>
    </row>
    <row r="36" spans="1:93" x14ac:dyDescent="0.35">
      <c r="A36" s="3" t="s">
        <v>17</v>
      </c>
      <c r="B36" s="3" t="s">
        <v>142</v>
      </c>
      <c r="C36" s="3" t="s">
        <v>83</v>
      </c>
      <c r="D36" s="25" t="s">
        <v>107</v>
      </c>
      <c r="E36" s="3" t="s">
        <v>2</v>
      </c>
      <c r="F36" s="5"/>
      <c r="G36" s="14">
        <v>23.61</v>
      </c>
      <c r="H36" s="7">
        <v>15.336774999999999</v>
      </c>
      <c r="I36" s="3">
        <v>1.7184729613520968</v>
      </c>
      <c r="J36" s="4">
        <f t="shared" si="12"/>
        <v>0.11204917339871628</v>
      </c>
      <c r="K36" s="3">
        <v>82348.641423246372</v>
      </c>
      <c r="L36" s="17">
        <v>5.333333333333333</v>
      </c>
      <c r="M36" s="17">
        <v>47794.166666666664</v>
      </c>
      <c r="N36" s="4">
        <v>0.80952380952380953</v>
      </c>
      <c r="O36" s="6">
        <v>2.1711366538952745</v>
      </c>
      <c r="P36" s="7">
        <v>1.6388979166666668</v>
      </c>
      <c r="Q36" s="31">
        <v>17</v>
      </c>
      <c r="R36" s="31">
        <v>4</v>
      </c>
      <c r="S36" s="31">
        <f t="shared" si="6"/>
        <v>21</v>
      </c>
      <c r="T36" s="15"/>
      <c r="U36" s="7">
        <v>24.713999999999999</v>
      </c>
      <c r="V36" s="7">
        <v>19.68</v>
      </c>
      <c r="W36" s="3">
        <v>10.220639109508635</v>
      </c>
      <c r="X36" s="4">
        <f t="shared" si="7"/>
        <v>0.51934141816608925</v>
      </c>
      <c r="Y36" s="3">
        <v>90583.505565571017</v>
      </c>
      <c r="Z36" s="17">
        <v>5.333333333333333</v>
      </c>
      <c r="AA36" s="17"/>
      <c r="AB36" s="17"/>
      <c r="AC36" s="3"/>
      <c r="AD36" s="7">
        <v>2.0594999999999999</v>
      </c>
      <c r="AE36" s="30"/>
      <c r="AF36" s="30"/>
      <c r="AG36" s="30"/>
      <c r="AI36" s="3">
        <v>25.78</v>
      </c>
      <c r="AJ36" s="3">
        <v>25.78</v>
      </c>
      <c r="AK36" s="3">
        <v>11.286639109508638</v>
      </c>
      <c r="AL36" s="4">
        <f t="shared" si="8"/>
        <v>0.43780601666053676</v>
      </c>
      <c r="AM36" s="3">
        <v>90583.505565571017</v>
      </c>
      <c r="AN36" s="17">
        <v>5.333333333333333</v>
      </c>
      <c r="AO36" s="17"/>
      <c r="AP36" s="17"/>
      <c r="AQ36" s="3"/>
      <c r="AR36" s="7">
        <v>2.1483333333333334</v>
      </c>
      <c r="AS36" s="30"/>
      <c r="AT36" s="30"/>
      <c r="AU36" s="30"/>
      <c r="AW36" s="17">
        <v>26.215</v>
      </c>
      <c r="AX36" s="17">
        <v>26.215</v>
      </c>
      <c r="AY36" s="17">
        <v>11.721639109508637</v>
      </c>
      <c r="AZ36" s="4">
        <v>0.44713481249317705</v>
      </c>
      <c r="BA36" s="3">
        <v>90583.505565571017</v>
      </c>
      <c r="BB36" s="17">
        <f t="shared" si="9"/>
        <v>5.333333333333333</v>
      </c>
      <c r="BC36" s="17"/>
      <c r="BD36" s="17"/>
      <c r="BE36" s="3"/>
      <c r="BF36" s="7">
        <v>2.1845833333333333</v>
      </c>
      <c r="BG36" s="30"/>
      <c r="BH36" s="30"/>
      <c r="BI36" s="30"/>
      <c r="BK36" s="17">
        <f t="shared" si="13"/>
        <v>100.319</v>
      </c>
      <c r="BL36" s="17">
        <f t="shared" si="14"/>
        <v>87.011775</v>
      </c>
      <c r="BM36" s="17">
        <f t="shared" si="15"/>
        <v>34.947390289878008</v>
      </c>
      <c r="BN36" s="4">
        <f t="shared" si="10"/>
        <v>0.40163978139600082</v>
      </c>
      <c r="BO36" s="3">
        <f t="shared" si="16"/>
        <v>88524.789529989852</v>
      </c>
      <c r="BP36" s="7">
        <f t="shared" si="17"/>
        <v>5.333333333333333</v>
      </c>
      <c r="BQ36" s="3"/>
      <c r="BR36" s="3"/>
      <c r="BS36" s="7"/>
      <c r="BT36" s="7">
        <f t="shared" si="11"/>
        <v>2.0078286458333334</v>
      </c>
      <c r="BU36" s="30"/>
      <c r="BV36" s="30"/>
      <c r="BW36" s="30"/>
      <c r="BY36" s="5" t="s">
        <v>90</v>
      </c>
      <c r="BZ36" s="5" t="s">
        <v>90</v>
      </c>
      <c r="CA36" s="5" t="s">
        <v>90</v>
      </c>
      <c r="CC36" s="21"/>
      <c r="CE36">
        <v>0</v>
      </c>
      <c r="CI36" s="5" t="s">
        <v>91</v>
      </c>
      <c r="CK36" t="s">
        <v>91</v>
      </c>
      <c r="CM36" s="5" t="s">
        <v>97</v>
      </c>
      <c r="CO36" t="s">
        <v>91</v>
      </c>
    </row>
    <row r="37" spans="1:93" x14ac:dyDescent="0.35">
      <c r="A37" s="3" t="s">
        <v>18</v>
      </c>
      <c r="B37" s="3" t="s">
        <v>142</v>
      </c>
      <c r="C37" s="3" t="s">
        <v>83</v>
      </c>
      <c r="D37" s="25" t="s">
        <v>107</v>
      </c>
      <c r="E37" s="3" t="s">
        <v>2</v>
      </c>
      <c r="F37" s="5"/>
      <c r="G37" s="14">
        <v>112</v>
      </c>
      <c r="H37" s="7">
        <v>99.82</v>
      </c>
      <c r="I37" s="3">
        <v>56.478983764858491</v>
      </c>
      <c r="J37" s="4">
        <f t="shared" si="12"/>
        <v>0.56580829257522036</v>
      </c>
      <c r="K37" s="3">
        <v>94388.83163095171</v>
      </c>
      <c r="L37" s="17">
        <v>40.666666666666664</v>
      </c>
      <c r="M37" s="17">
        <v>29566.371681415923</v>
      </c>
      <c r="N37" s="4">
        <v>1</v>
      </c>
      <c r="O37" s="6">
        <v>6.5073423553124092</v>
      </c>
      <c r="P37" s="7">
        <v>1.6331372549019607</v>
      </c>
      <c r="Q37" s="31">
        <v>226</v>
      </c>
      <c r="R37" s="31">
        <v>0</v>
      </c>
      <c r="S37" s="31">
        <f t="shared" si="6"/>
        <v>226</v>
      </c>
      <c r="T37" s="15"/>
      <c r="U37" s="7">
        <v>99</v>
      </c>
      <c r="V37" s="7">
        <v>63.25</v>
      </c>
      <c r="W37" s="3">
        <v>-27.669812048737199</v>
      </c>
      <c r="X37" s="4">
        <f t="shared" si="7"/>
        <v>-0.43746738416975811</v>
      </c>
      <c r="Y37" s="3">
        <v>103827.71479404689</v>
      </c>
      <c r="Z37" s="17">
        <v>40.666666666666664</v>
      </c>
      <c r="AA37" s="17"/>
      <c r="AB37" s="17"/>
      <c r="AC37" s="3"/>
      <c r="AD37" s="7">
        <v>1.9411764705882353</v>
      </c>
      <c r="AE37" s="30"/>
      <c r="AF37" s="30"/>
      <c r="AG37" s="30"/>
      <c r="AI37" s="3">
        <v>104</v>
      </c>
      <c r="AJ37" s="3">
        <v>104</v>
      </c>
      <c r="AK37" s="3">
        <v>-22.669812048737199</v>
      </c>
      <c r="AL37" s="4">
        <f t="shared" si="8"/>
        <v>-0.21797896200708847</v>
      </c>
      <c r="AM37" s="3">
        <v>103827.71479404689</v>
      </c>
      <c r="AN37" s="17">
        <v>40.666666666666664</v>
      </c>
      <c r="AO37" s="17"/>
      <c r="AP37" s="17"/>
      <c r="AQ37" s="3"/>
      <c r="AR37" s="7">
        <v>2.0392156862745097</v>
      </c>
      <c r="AS37" s="30"/>
      <c r="AT37" s="30"/>
      <c r="AU37" s="30"/>
      <c r="AW37" s="17">
        <v>111</v>
      </c>
      <c r="AX37" s="17">
        <v>111</v>
      </c>
      <c r="AY37" s="17">
        <v>-15.669812048737199</v>
      </c>
      <c r="AZ37" s="4">
        <v>-0.14116947791655135</v>
      </c>
      <c r="BA37" s="3">
        <v>103827.71479404689</v>
      </c>
      <c r="BB37" s="17">
        <f t="shared" si="9"/>
        <v>40.666666666666664</v>
      </c>
      <c r="BC37" s="17"/>
      <c r="BD37" s="17"/>
      <c r="BE37" s="3"/>
      <c r="BF37" s="7">
        <v>2.1764705882352939</v>
      </c>
      <c r="BG37" s="30"/>
      <c r="BH37" s="30"/>
      <c r="BI37" s="30"/>
      <c r="BK37" s="17">
        <f t="shared" si="13"/>
        <v>426</v>
      </c>
      <c r="BL37" s="17">
        <f t="shared" si="14"/>
        <v>378.07</v>
      </c>
      <c r="BM37" s="17">
        <f t="shared" si="15"/>
        <v>-9.5304523813531077</v>
      </c>
      <c r="BN37" s="4">
        <f t="shared" si="10"/>
        <v>-2.5208168808297692E-2</v>
      </c>
      <c r="BO37" s="3">
        <f t="shared" si="16"/>
        <v>101467.9940032731</v>
      </c>
      <c r="BP37" s="7">
        <f t="shared" si="17"/>
        <v>40.666666666666664</v>
      </c>
      <c r="BQ37" s="3"/>
      <c r="BR37" s="3"/>
      <c r="BS37" s="7"/>
      <c r="BT37" s="7">
        <f t="shared" si="11"/>
        <v>1.9474999999999998</v>
      </c>
      <c r="BU37" s="30"/>
      <c r="BV37" s="30"/>
      <c r="BW37" s="30"/>
      <c r="BY37" s="5" t="s">
        <v>90</v>
      </c>
      <c r="BZ37" s="5" t="s">
        <v>90</v>
      </c>
      <c r="CA37" s="5" t="s">
        <v>90</v>
      </c>
      <c r="CC37" s="21"/>
      <c r="CE37">
        <v>29.63</v>
      </c>
      <c r="CI37" s="5" t="s">
        <v>91</v>
      </c>
      <c r="CK37" t="s">
        <v>91</v>
      </c>
      <c r="CM37" s="5" t="s">
        <v>97</v>
      </c>
      <c r="CO37" t="s">
        <v>90</v>
      </c>
    </row>
    <row r="38" spans="1:93" x14ac:dyDescent="0.35">
      <c r="A38" s="3" t="s">
        <v>50</v>
      </c>
      <c r="B38" s="3" t="s">
        <v>146</v>
      </c>
      <c r="C38" s="3" t="s">
        <v>150</v>
      </c>
      <c r="D38" s="2" t="s">
        <v>107</v>
      </c>
      <c r="E38" s="3" t="s">
        <v>70</v>
      </c>
      <c r="F38" s="5"/>
      <c r="G38" s="14">
        <v>46</v>
      </c>
      <c r="H38" s="7">
        <f>12.5+13.6+14.1</f>
        <v>40.200000000000003</v>
      </c>
      <c r="I38" s="3">
        <v>-7.1068989156946571</v>
      </c>
      <c r="J38" s="4">
        <f t="shared" si="12"/>
        <v>-0.17678853024116062</v>
      </c>
      <c r="K38" s="3">
        <v>100619.43490047885</v>
      </c>
      <c r="L38" s="17">
        <v>11.666666666666666</v>
      </c>
      <c r="M38" s="17">
        <v>35675.058823529413</v>
      </c>
      <c r="N38" s="4">
        <v>0.35294117647058826</v>
      </c>
      <c r="O38" s="6">
        <v>1.7142857142857142</v>
      </c>
      <c r="P38" s="7">
        <v>2.1904761904761907</v>
      </c>
      <c r="Q38" s="31">
        <v>24</v>
      </c>
      <c r="R38" s="31">
        <v>44</v>
      </c>
      <c r="S38" s="31">
        <f t="shared" si="6"/>
        <v>68</v>
      </c>
      <c r="T38" s="15"/>
      <c r="U38" s="7">
        <v>64</v>
      </c>
      <c r="V38" s="7">
        <f>22.2+9.9</f>
        <v>32.1</v>
      </c>
      <c r="W38" s="3">
        <v>21.261517563315643</v>
      </c>
      <c r="X38" s="4">
        <f t="shared" si="7"/>
        <v>0.66235257206590781</v>
      </c>
      <c r="Y38" s="3">
        <v>110681.37839052675</v>
      </c>
      <c r="Z38" s="17">
        <v>11.666666666666666</v>
      </c>
      <c r="AA38" s="17"/>
      <c r="AB38" s="17"/>
      <c r="AC38" s="3"/>
      <c r="AD38" s="7">
        <v>3.0476190476190474</v>
      </c>
      <c r="AE38" s="30"/>
      <c r="AF38" s="30"/>
      <c r="AG38" s="30"/>
      <c r="AI38" s="3">
        <v>60</v>
      </c>
      <c r="AJ38" s="3">
        <v>24</v>
      </c>
      <c r="AK38" s="3">
        <v>21.261517563315643</v>
      </c>
      <c r="AL38" s="4">
        <f t="shared" si="8"/>
        <v>0.88589656513815174</v>
      </c>
      <c r="AM38" s="3">
        <v>110681.37839052675</v>
      </c>
      <c r="AN38" s="17">
        <v>11.666666666666666</v>
      </c>
      <c r="AO38" s="17"/>
      <c r="AP38" s="17"/>
      <c r="AQ38" s="3"/>
      <c r="AR38" s="7">
        <v>2.8571428571428572</v>
      </c>
      <c r="AS38" s="30"/>
      <c r="AT38" s="30"/>
      <c r="AU38" s="30"/>
      <c r="AW38" s="17">
        <v>62</v>
      </c>
      <c r="AX38" s="17">
        <v>39</v>
      </c>
      <c r="AY38" s="17">
        <v>23.261517563315643</v>
      </c>
      <c r="AZ38" s="4">
        <v>0.37518576715025231</v>
      </c>
      <c r="BA38" s="3">
        <v>110681.37839052675</v>
      </c>
      <c r="BB38" s="17">
        <f t="shared" si="9"/>
        <v>11.666666666666666</v>
      </c>
      <c r="BC38" s="17"/>
      <c r="BD38" s="17"/>
      <c r="BE38" s="3"/>
      <c r="BF38" s="7">
        <v>2.9523809523809526</v>
      </c>
      <c r="BG38" s="30"/>
      <c r="BH38" s="30"/>
      <c r="BI38" s="30"/>
      <c r="BK38" s="17">
        <f t="shared" si="13"/>
        <v>232</v>
      </c>
      <c r="BL38" s="17">
        <f t="shared" si="14"/>
        <v>135.30000000000001</v>
      </c>
      <c r="BM38" s="17">
        <f t="shared" si="15"/>
        <v>58.677653774252278</v>
      </c>
      <c r="BN38" s="4">
        <f t="shared" si="10"/>
        <v>0.43368554156875294</v>
      </c>
      <c r="BO38" s="3">
        <f t="shared" si="16"/>
        <v>108165.89251801478</v>
      </c>
      <c r="BP38" s="7">
        <f t="shared" si="17"/>
        <v>11.666666666666666</v>
      </c>
      <c r="BQ38" s="3"/>
      <c r="BR38" s="3"/>
      <c r="BS38" s="7"/>
      <c r="BT38" s="7">
        <f t="shared" si="11"/>
        <v>2.7619047619047619</v>
      </c>
      <c r="BU38" s="30"/>
      <c r="BV38" s="30"/>
      <c r="BW38" s="30"/>
      <c r="BY38" s="5" t="s">
        <v>90</v>
      </c>
      <c r="BZ38" s="5" t="s">
        <v>90</v>
      </c>
      <c r="CA38" s="5" t="s">
        <v>90</v>
      </c>
      <c r="CC38" s="21"/>
      <c r="CE38">
        <v>12.259040000000001</v>
      </c>
      <c r="CI38" s="5" t="s">
        <v>91</v>
      </c>
      <c r="CK38" t="s">
        <v>91</v>
      </c>
      <c r="CM38" s="5" t="s">
        <v>97</v>
      </c>
      <c r="CO38" t="s">
        <v>91</v>
      </c>
    </row>
    <row r="39" spans="1:93" x14ac:dyDescent="0.35">
      <c r="A39" s="3" t="s">
        <v>6</v>
      </c>
      <c r="B39" s="3" t="s">
        <v>142</v>
      </c>
      <c r="C39" s="3" t="s">
        <v>83</v>
      </c>
      <c r="D39" s="25" t="s">
        <v>107</v>
      </c>
      <c r="E39" s="3" t="s">
        <v>2</v>
      </c>
      <c r="F39" s="5"/>
      <c r="G39" s="14">
        <v>15.5</v>
      </c>
      <c r="H39" s="7">
        <v>17.535019999999999</v>
      </c>
      <c r="I39" s="3">
        <v>7.5219834746056966</v>
      </c>
      <c r="J39" s="4">
        <f t="shared" si="12"/>
        <v>0.42896919847286724</v>
      </c>
      <c r="K39" s="3">
        <v>93473.032591125986</v>
      </c>
      <c r="L39" s="17">
        <v>3</v>
      </c>
      <c r="M39" s="17">
        <v>66861.222222222219</v>
      </c>
      <c r="N39" s="4">
        <v>0.72222222222222221</v>
      </c>
      <c r="O39" s="6">
        <v>3.25</v>
      </c>
      <c r="P39" s="7">
        <v>2.6029176666666669</v>
      </c>
      <c r="Q39" s="31">
        <v>13</v>
      </c>
      <c r="R39" s="31">
        <v>5</v>
      </c>
      <c r="S39" s="31">
        <f t="shared" si="6"/>
        <v>18</v>
      </c>
      <c r="T39" s="15"/>
      <c r="U39" s="7">
        <v>18</v>
      </c>
      <c r="V39" s="7">
        <v>8.6300000000000008</v>
      </c>
      <c r="W39" s="3">
        <v>8.7461697734785258</v>
      </c>
      <c r="X39" s="4">
        <f t="shared" si="7"/>
        <v>1.0134611556753794</v>
      </c>
      <c r="Y39" s="3">
        <v>102820.3358502386</v>
      </c>
      <c r="Z39" s="17">
        <v>3</v>
      </c>
      <c r="AA39" s="17"/>
      <c r="AB39" s="17"/>
      <c r="AC39" s="3"/>
      <c r="AD39" s="7">
        <v>3</v>
      </c>
      <c r="AE39" s="30"/>
      <c r="AF39" s="30"/>
      <c r="AG39" s="30"/>
      <c r="AI39" s="3">
        <v>17</v>
      </c>
      <c r="AJ39" s="3">
        <v>17</v>
      </c>
      <c r="AK39" s="3">
        <v>7.7461697734785258</v>
      </c>
      <c r="AL39" s="4">
        <f t="shared" si="8"/>
        <v>0.45565704549873681</v>
      </c>
      <c r="AM39" s="3">
        <v>102820.3358502386</v>
      </c>
      <c r="AN39" s="17">
        <v>3</v>
      </c>
      <c r="AO39" s="17"/>
      <c r="AP39" s="17"/>
      <c r="AQ39" s="3"/>
      <c r="AR39" s="7">
        <v>2.8333333333333335</v>
      </c>
      <c r="AS39" s="30"/>
      <c r="AT39" s="30"/>
      <c r="AU39" s="30"/>
      <c r="AW39" s="17">
        <v>15</v>
      </c>
      <c r="AX39" s="17">
        <v>15</v>
      </c>
      <c r="AY39" s="17">
        <v>5.7461697734785258</v>
      </c>
      <c r="AZ39" s="4">
        <v>0.38307798489856837</v>
      </c>
      <c r="BA39" s="3">
        <v>102820.3358502386</v>
      </c>
      <c r="BB39" s="17">
        <f t="shared" si="9"/>
        <v>3</v>
      </c>
      <c r="BC39" s="17"/>
      <c r="BD39" s="17"/>
      <c r="BE39" s="3"/>
      <c r="BF39" s="7">
        <v>2.5</v>
      </c>
      <c r="BG39" s="30"/>
      <c r="BH39" s="30"/>
      <c r="BI39" s="30"/>
      <c r="BK39" s="17">
        <f t="shared" si="13"/>
        <v>65.5</v>
      </c>
      <c r="BL39" s="17">
        <f t="shared" si="14"/>
        <v>58.165019999999998</v>
      </c>
      <c r="BM39" s="17">
        <f t="shared" si="15"/>
        <v>29.760492795041273</v>
      </c>
      <c r="BN39" s="4">
        <f t="shared" si="10"/>
        <v>0.51165619465172152</v>
      </c>
      <c r="BO39" s="3">
        <f t="shared" si="16"/>
        <v>100483.51003546044</v>
      </c>
      <c r="BP39" s="7">
        <f t="shared" si="17"/>
        <v>3</v>
      </c>
      <c r="BQ39" s="3"/>
      <c r="BR39" s="3"/>
      <c r="BS39" s="7"/>
      <c r="BT39" s="7">
        <f t="shared" si="11"/>
        <v>2.7340627500000001</v>
      </c>
      <c r="BU39" s="30"/>
      <c r="BV39" s="30"/>
      <c r="BW39" s="30"/>
      <c r="BY39" s="5" t="s">
        <v>90</v>
      </c>
      <c r="BZ39" s="5" t="s">
        <v>90</v>
      </c>
      <c r="CA39" s="5" t="s">
        <v>90</v>
      </c>
      <c r="CC39" s="21"/>
      <c r="CE39">
        <v>0</v>
      </c>
      <c r="CI39" s="5" t="s">
        <v>91</v>
      </c>
      <c r="CK39" t="s">
        <v>91</v>
      </c>
      <c r="CM39" s="5" t="s">
        <v>105</v>
      </c>
      <c r="CO39" t="s">
        <v>91</v>
      </c>
    </row>
    <row r="40" spans="1:93" x14ac:dyDescent="0.35">
      <c r="A40" s="3" t="s">
        <v>51</v>
      </c>
      <c r="B40" s="3" t="s">
        <v>142</v>
      </c>
      <c r="C40" s="3" t="s">
        <v>127</v>
      </c>
      <c r="D40" s="25" t="s">
        <v>107</v>
      </c>
      <c r="E40" s="3" t="s">
        <v>85</v>
      </c>
      <c r="F40" s="5"/>
      <c r="G40" s="14">
        <v>12</v>
      </c>
      <c r="H40" s="7">
        <v>18.1816104</v>
      </c>
      <c r="I40" s="3">
        <v>6.2079469831550496</v>
      </c>
      <c r="J40" s="4">
        <f t="shared" si="12"/>
        <v>0.34144098606111645</v>
      </c>
      <c r="K40" s="3">
        <v>102889.40225520697</v>
      </c>
      <c r="L40" s="17">
        <v>4</v>
      </c>
      <c r="M40" s="17">
        <v>73440.07428571429</v>
      </c>
      <c r="N40" s="4">
        <v>1</v>
      </c>
      <c r="O40" s="6">
        <v>2.258064516129032</v>
      </c>
      <c r="P40" s="7">
        <v>2.3077000430107528</v>
      </c>
      <c r="Q40" s="31">
        <v>14</v>
      </c>
      <c r="R40" s="31">
        <v>0</v>
      </c>
      <c r="S40" s="31">
        <f t="shared" si="6"/>
        <v>14</v>
      </c>
      <c r="T40" s="15"/>
      <c r="U40" s="7">
        <v>16</v>
      </c>
      <c r="V40" s="7">
        <v>16</v>
      </c>
      <c r="W40" s="3">
        <v>2.4185989023126808</v>
      </c>
      <c r="X40" s="4">
        <f t="shared" si="7"/>
        <v>0.15116243139454255</v>
      </c>
      <c r="Y40" s="3">
        <v>113178.34248072768</v>
      </c>
      <c r="Z40" s="17">
        <v>4</v>
      </c>
      <c r="AA40" s="17"/>
      <c r="AB40" s="17"/>
      <c r="AC40" s="3"/>
      <c r="AD40" s="7">
        <v>1.7204301075268815</v>
      </c>
      <c r="AE40" s="30"/>
      <c r="AF40" s="30"/>
      <c r="AG40" s="30"/>
      <c r="AI40" s="3">
        <v>15</v>
      </c>
      <c r="AJ40" s="3">
        <v>15</v>
      </c>
      <c r="AK40" s="3">
        <v>1.4185989023126808</v>
      </c>
      <c r="AL40" s="4">
        <f t="shared" si="8"/>
        <v>9.4573260154178718E-2</v>
      </c>
      <c r="AM40" s="3">
        <v>113178.34248072768</v>
      </c>
      <c r="AN40" s="17">
        <v>4</v>
      </c>
      <c r="AO40" s="17"/>
      <c r="AP40" s="17"/>
      <c r="AQ40" s="3"/>
      <c r="AR40" s="7">
        <v>1.6129032258064515</v>
      </c>
      <c r="AS40" s="30"/>
      <c r="AT40" s="30"/>
      <c r="AU40" s="30"/>
      <c r="AW40" s="17">
        <v>15</v>
      </c>
      <c r="AX40" s="17">
        <v>15</v>
      </c>
      <c r="AY40" s="17">
        <v>1.4185989023126808</v>
      </c>
      <c r="AZ40" s="4">
        <v>9.4573260154178718E-2</v>
      </c>
      <c r="BA40" s="3">
        <v>113178.34248072768</v>
      </c>
      <c r="BB40" s="17">
        <f t="shared" si="9"/>
        <v>4</v>
      </c>
      <c r="BC40" s="17"/>
      <c r="BD40" s="17"/>
      <c r="BE40" s="3"/>
      <c r="BF40" s="7">
        <v>1.6129032258064515</v>
      </c>
      <c r="BG40" s="30"/>
      <c r="BH40" s="30"/>
      <c r="BI40" s="30"/>
      <c r="BK40" s="17">
        <f t="shared" si="13"/>
        <v>58</v>
      </c>
      <c r="BL40" s="17">
        <f t="shared" si="14"/>
        <v>64.181610399999997</v>
      </c>
      <c r="BM40" s="17">
        <f t="shared" si="15"/>
        <v>11.463743690093093</v>
      </c>
      <c r="BN40" s="4">
        <f t="shared" si="10"/>
        <v>0.17861414848657481</v>
      </c>
      <c r="BO40" s="3">
        <f t="shared" si="16"/>
        <v>110606.10742434752</v>
      </c>
      <c r="BP40" s="7">
        <f t="shared" si="17"/>
        <v>4</v>
      </c>
      <c r="BQ40" s="3"/>
      <c r="BR40" s="3"/>
      <c r="BS40" s="7"/>
      <c r="BT40" s="7">
        <f t="shared" si="11"/>
        <v>1.8134841505376347</v>
      </c>
      <c r="BU40" s="30"/>
      <c r="BV40" s="30"/>
      <c r="BW40" s="30"/>
      <c r="BY40" s="5" t="s">
        <v>90</v>
      </c>
      <c r="BZ40" s="5" t="s">
        <v>90</v>
      </c>
      <c r="CA40" s="5" t="s">
        <v>90</v>
      </c>
      <c r="CC40" s="21"/>
      <c r="CE40">
        <v>0</v>
      </c>
      <c r="CG40">
        <f>1677628/100000</f>
        <v>16.77628</v>
      </c>
      <c r="CI40" s="5" t="s">
        <v>91</v>
      </c>
      <c r="CK40" t="s">
        <v>90</v>
      </c>
      <c r="CM40" s="5" t="s">
        <v>105</v>
      </c>
      <c r="CO40" t="s">
        <v>91</v>
      </c>
    </row>
    <row r="41" spans="1:93" x14ac:dyDescent="0.35">
      <c r="A41" s="3" t="s">
        <v>64</v>
      </c>
      <c r="B41" s="3" t="s">
        <v>142</v>
      </c>
      <c r="C41" s="3" t="s">
        <v>84</v>
      </c>
      <c r="D41" s="26" t="s">
        <v>107</v>
      </c>
      <c r="E41" s="3" t="s">
        <v>2</v>
      </c>
      <c r="F41" s="5"/>
      <c r="G41" s="14">
        <v>0</v>
      </c>
      <c r="H41" s="7">
        <v>0</v>
      </c>
      <c r="I41" s="3">
        <v>0</v>
      </c>
      <c r="J41" s="4">
        <f t="shared" si="12"/>
        <v>0</v>
      </c>
      <c r="K41" s="3">
        <v>0</v>
      </c>
      <c r="L41" s="17">
        <v>0</v>
      </c>
      <c r="M41" s="4"/>
      <c r="N41" s="4">
        <v>0</v>
      </c>
      <c r="O41" s="6"/>
      <c r="P41" s="7">
        <v>0</v>
      </c>
      <c r="Q41" s="31">
        <v>0</v>
      </c>
      <c r="R41" s="31">
        <v>0</v>
      </c>
      <c r="S41" s="31">
        <f t="shared" si="6"/>
        <v>0</v>
      </c>
      <c r="T41" s="15"/>
      <c r="U41" s="7">
        <v>0</v>
      </c>
      <c r="V41" s="7">
        <v>0</v>
      </c>
      <c r="W41" s="3">
        <v>0</v>
      </c>
      <c r="X41" s="4">
        <f t="shared" si="7"/>
        <v>0</v>
      </c>
      <c r="Y41" s="3">
        <v>0</v>
      </c>
      <c r="Z41" s="17">
        <v>0</v>
      </c>
      <c r="AA41" s="17"/>
      <c r="AB41" s="17"/>
      <c r="AC41" s="3"/>
      <c r="AD41" s="7">
        <v>0</v>
      </c>
      <c r="AE41" s="30"/>
      <c r="AF41" s="30"/>
      <c r="AG41" s="30"/>
      <c r="AI41" s="3">
        <v>0</v>
      </c>
      <c r="AJ41" s="3">
        <v>0</v>
      </c>
      <c r="AK41" s="3">
        <v>0</v>
      </c>
      <c r="AL41" s="4">
        <f t="shared" si="8"/>
        <v>0</v>
      </c>
      <c r="AM41" s="3">
        <v>0</v>
      </c>
      <c r="AN41" s="17">
        <v>0</v>
      </c>
      <c r="AO41" s="17"/>
      <c r="AP41" s="17"/>
      <c r="AQ41" s="3"/>
      <c r="AR41" s="7">
        <v>0</v>
      </c>
      <c r="AS41" s="30"/>
      <c r="AT41" s="30"/>
      <c r="AU41" s="30"/>
      <c r="AW41" s="17">
        <v>0</v>
      </c>
      <c r="AX41" s="17">
        <v>0</v>
      </c>
      <c r="AY41" s="17">
        <v>0</v>
      </c>
      <c r="AZ41" s="4">
        <v>0</v>
      </c>
      <c r="BA41" s="3">
        <v>0</v>
      </c>
      <c r="BB41" s="17">
        <f t="shared" si="9"/>
        <v>0</v>
      </c>
      <c r="BC41" s="17"/>
      <c r="BD41" s="17"/>
      <c r="BE41" s="3"/>
      <c r="BF41" s="7">
        <v>0</v>
      </c>
      <c r="BG41" s="30"/>
      <c r="BH41" s="30"/>
      <c r="BI41" s="30"/>
      <c r="BK41" s="17">
        <f t="shared" si="13"/>
        <v>0</v>
      </c>
      <c r="BL41" s="17">
        <f t="shared" si="14"/>
        <v>0</v>
      </c>
      <c r="BM41" s="17">
        <f t="shared" si="15"/>
        <v>0</v>
      </c>
      <c r="BN41" s="4">
        <f t="shared" si="10"/>
        <v>0</v>
      </c>
      <c r="BO41" s="3">
        <f t="shared" si="16"/>
        <v>0</v>
      </c>
      <c r="BP41" s="7">
        <f t="shared" si="17"/>
        <v>0</v>
      </c>
      <c r="BQ41" s="3"/>
      <c r="BR41" s="3"/>
      <c r="BS41" s="7"/>
      <c r="BT41" s="7">
        <f t="shared" si="11"/>
        <v>0</v>
      </c>
      <c r="BU41" s="30"/>
      <c r="BV41" s="30"/>
      <c r="BW41" s="30"/>
      <c r="BY41" s="5" t="s">
        <v>90</v>
      </c>
      <c r="BZ41" s="5" t="s">
        <v>90</v>
      </c>
      <c r="CA41" s="5" t="s">
        <v>90</v>
      </c>
      <c r="CC41" s="21"/>
      <c r="CE41">
        <v>0</v>
      </c>
      <c r="CI41" s="5" t="s">
        <v>91</v>
      </c>
      <c r="CK41" t="s">
        <v>91</v>
      </c>
      <c r="CM41" s="5" t="s">
        <v>157</v>
      </c>
      <c r="CO41" t="s">
        <v>91</v>
      </c>
    </row>
    <row r="42" spans="1:93" x14ac:dyDescent="0.35">
      <c r="A42" s="3" t="s">
        <v>52</v>
      </c>
      <c r="B42" s="3" t="s">
        <v>142</v>
      </c>
      <c r="C42" s="3" t="s">
        <v>127</v>
      </c>
      <c r="D42" s="25" t="s">
        <v>107</v>
      </c>
      <c r="E42" s="3" t="s">
        <v>85</v>
      </c>
      <c r="F42" s="5"/>
      <c r="G42" s="14">
        <v>28.5</v>
      </c>
      <c r="H42" s="7">
        <v>30.11</v>
      </c>
      <c r="I42" s="3">
        <v>14.452180126042993</v>
      </c>
      <c r="J42" s="4">
        <f t="shared" si="12"/>
        <v>0.47997941302035846</v>
      </c>
      <c r="K42" s="3">
        <v>109174.83125485166</v>
      </c>
      <c r="L42" s="17">
        <v>5</v>
      </c>
      <c r="M42" s="17">
        <v>70206.896551724145</v>
      </c>
      <c r="N42" s="4">
        <v>0.51724137931034486</v>
      </c>
      <c r="O42" s="6">
        <v>2.3255813953488373</v>
      </c>
      <c r="P42" s="7">
        <v>2.9510416666666659</v>
      </c>
      <c r="Q42" s="31">
        <v>15</v>
      </c>
      <c r="R42" s="31">
        <v>14</v>
      </c>
      <c r="S42" s="31">
        <f t="shared" si="6"/>
        <v>29</v>
      </c>
      <c r="T42" s="15"/>
      <c r="U42" s="7">
        <v>28.5</v>
      </c>
      <c r="V42" s="7">
        <v>28.5</v>
      </c>
      <c r="W42" s="3">
        <v>10.486152842949476</v>
      </c>
      <c r="X42" s="4">
        <f t="shared" si="7"/>
        <v>0.36793518747191145</v>
      </c>
      <c r="Y42" s="3">
        <v>120092.31438033683</v>
      </c>
      <c r="Z42" s="17">
        <v>5</v>
      </c>
      <c r="AA42" s="17"/>
      <c r="AB42" s="17"/>
      <c r="AC42" s="3"/>
      <c r="AD42" s="7">
        <v>2.9687499999999996</v>
      </c>
      <c r="AE42" s="30"/>
      <c r="AF42" s="30"/>
      <c r="AG42" s="30"/>
      <c r="AI42" s="3">
        <v>33</v>
      </c>
      <c r="AJ42" s="3">
        <v>33</v>
      </c>
      <c r="AK42" s="3">
        <v>14.986152842949476</v>
      </c>
      <c r="AL42" s="4">
        <f t="shared" si="8"/>
        <v>0.45412584372574172</v>
      </c>
      <c r="AM42" s="3">
        <v>120092.31438033683</v>
      </c>
      <c r="AN42" s="17">
        <v>5</v>
      </c>
      <c r="AO42" s="17"/>
      <c r="AP42" s="17"/>
      <c r="AQ42" s="3"/>
      <c r="AR42" s="7">
        <v>3.4374999999999996</v>
      </c>
      <c r="AS42" s="30"/>
      <c r="AT42" s="30"/>
      <c r="AU42" s="30"/>
      <c r="AW42" s="17">
        <v>15</v>
      </c>
      <c r="AX42" s="17">
        <v>15</v>
      </c>
      <c r="AY42" s="17">
        <v>-3.0138471570505239</v>
      </c>
      <c r="AZ42" s="4">
        <v>-0.20092314380336826</v>
      </c>
      <c r="BA42" s="3">
        <v>120092.31438033683</v>
      </c>
      <c r="BB42" s="17">
        <f t="shared" si="9"/>
        <v>5</v>
      </c>
      <c r="BC42" s="17"/>
      <c r="BD42" s="17"/>
      <c r="BE42" s="3"/>
      <c r="BF42" s="7">
        <v>1.5624999999999998</v>
      </c>
      <c r="BG42" s="30"/>
      <c r="BH42" s="30"/>
      <c r="BI42" s="30"/>
      <c r="BK42" s="17">
        <f t="shared" si="13"/>
        <v>105</v>
      </c>
      <c r="BL42" s="17">
        <f t="shared" si="14"/>
        <v>106.61</v>
      </c>
      <c r="BM42" s="17">
        <f t="shared" si="15"/>
        <v>36.910638654891422</v>
      </c>
      <c r="BN42" s="4">
        <f t="shared" si="10"/>
        <v>0.34622116738478026</v>
      </c>
      <c r="BO42" s="3">
        <f t="shared" si="16"/>
        <v>117362.94359896555</v>
      </c>
      <c r="BP42" s="7">
        <f t="shared" si="17"/>
        <v>5</v>
      </c>
      <c r="BQ42" s="3"/>
      <c r="BR42" s="3"/>
      <c r="BS42" s="7"/>
      <c r="BT42" s="7">
        <f t="shared" si="11"/>
        <v>2.7299479166666663</v>
      </c>
      <c r="BU42" s="30"/>
      <c r="BV42" s="30"/>
      <c r="BW42" s="30"/>
      <c r="BY42" s="5" t="s">
        <v>90</v>
      </c>
      <c r="BZ42" s="5" t="s">
        <v>90</v>
      </c>
      <c r="CA42" s="5" t="s">
        <v>90</v>
      </c>
      <c r="CC42" s="21"/>
      <c r="CE42">
        <v>0</v>
      </c>
      <c r="CI42" s="5" t="s">
        <v>91</v>
      </c>
      <c r="CK42" t="s">
        <v>91</v>
      </c>
      <c r="CM42" s="5" t="s">
        <v>96</v>
      </c>
      <c r="CO42" t="s">
        <v>91</v>
      </c>
    </row>
    <row r="43" spans="1:93" x14ac:dyDescent="0.35">
      <c r="A43" s="3" t="s">
        <v>53</v>
      </c>
      <c r="B43" s="3" t="s">
        <v>146</v>
      </c>
      <c r="C43" s="3" t="s">
        <v>84</v>
      </c>
      <c r="D43" s="2" t="s">
        <v>107</v>
      </c>
      <c r="E43" s="3" t="s">
        <v>70</v>
      </c>
      <c r="F43" s="5"/>
      <c r="G43" s="14">
        <v>0</v>
      </c>
      <c r="H43" s="7">
        <v>2.2999999999999998</v>
      </c>
      <c r="I43" s="3">
        <v>-0.90599687139745755</v>
      </c>
      <c r="J43" s="4">
        <f t="shared" si="12"/>
        <v>-0.39391168321628595</v>
      </c>
      <c r="K43" s="3">
        <v>90000</v>
      </c>
      <c r="L43" s="17">
        <v>0.33333333333333331</v>
      </c>
      <c r="M43" s="4"/>
      <c r="N43" s="4">
        <v>0</v>
      </c>
      <c r="O43" s="6">
        <v>0</v>
      </c>
      <c r="P43" s="7">
        <v>0.33333333333333331</v>
      </c>
      <c r="Q43" s="31">
        <v>0</v>
      </c>
      <c r="R43" s="31">
        <v>0</v>
      </c>
      <c r="S43" s="31">
        <f t="shared" si="6"/>
        <v>0</v>
      </c>
      <c r="T43" s="15"/>
      <c r="U43" s="7">
        <v>0</v>
      </c>
      <c r="V43" s="7">
        <v>3</v>
      </c>
      <c r="W43" s="3">
        <v>3</v>
      </c>
      <c r="X43" s="4">
        <f t="shared" si="7"/>
        <v>1</v>
      </c>
      <c r="Y43" s="3">
        <v>0</v>
      </c>
      <c r="Z43" s="17">
        <v>0</v>
      </c>
      <c r="AA43" s="17"/>
      <c r="AB43" s="17"/>
      <c r="AC43" s="3"/>
      <c r="AD43" s="7">
        <v>0</v>
      </c>
      <c r="AE43" s="30"/>
      <c r="AF43" s="30"/>
      <c r="AG43" s="30"/>
      <c r="AI43" s="3">
        <v>0</v>
      </c>
      <c r="AJ43" s="3">
        <v>0</v>
      </c>
      <c r="AK43" s="3">
        <v>0</v>
      </c>
      <c r="AL43" s="4">
        <f t="shared" si="8"/>
        <v>0</v>
      </c>
      <c r="AM43" s="3">
        <v>0</v>
      </c>
      <c r="AN43" s="17">
        <v>0</v>
      </c>
      <c r="AO43" s="17"/>
      <c r="AP43" s="17"/>
      <c r="AQ43" s="3"/>
      <c r="AR43" s="7">
        <v>0</v>
      </c>
      <c r="AS43" s="30"/>
      <c r="AT43" s="30"/>
      <c r="AU43" s="30"/>
      <c r="AW43" s="17">
        <v>0</v>
      </c>
      <c r="AX43" s="17">
        <v>0</v>
      </c>
      <c r="AY43" s="17">
        <v>0</v>
      </c>
      <c r="AZ43" s="4">
        <v>0</v>
      </c>
      <c r="BA43" s="3">
        <v>0</v>
      </c>
      <c r="BB43" s="17">
        <f t="shared" si="9"/>
        <v>0</v>
      </c>
      <c r="BC43" s="17"/>
      <c r="BD43" s="17"/>
      <c r="BE43" s="3"/>
      <c r="BF43" s="7">
        <v>0</v>
      </c>
      <c r="BG43" s="30"/>
      <c r="BH43" s="30"/>
      <c r="BI43" s="30"/>
      <c r="BK43" s="17">
        <f t="shared" si="13"/>
        <v>0</v>
      </c>
      <c r="BL43" s="17">
        <f t="shared" si="14"/>
        <v>5.3</v>
      </c>
      <c r="BM43" s="17">
        <f t="shared" si="15"/>
        <v>2.0940031286025427</v>
      </c>
      <c r="BN43" s="4">
        <f t="shared" si="10"/>
        <v>0.39509492992500805</v>
      </c>
      <c r="BO43" s="3">
        <f t="shared" si="16"/>
        <v>22500</v>
      </c>
      <c r="BP43" s="7">
        <f t="shared" si="17"/>
        <v>8.3333333333333329E-2</v>
      </c>
      <c r="BQ43" s="3"/>
      <c r="BR43" s="3"/>
      <c r="BS43" s="7"/>
      <c r="BT43" s="7">
        <f t="shared" si="11"/>
        <v>8.3333333333333329E-2</v>
      </c>
      <c r="BU43" s="30"/>
      <c r="BV43" s="30"/>
      <c r="BW43" s="30"/>
      <c r="BY43" s="5" t="s">
        <v>90</v>
      </c>
      <c r="BZ43" s="5" t="s">
        <v>90</v>
      </c>
      <c r="CA43" s="5" t="s">
        <v>90</v>
      </c>
      <c r="CC43" s="21"/>
      <c r="CE43">
        <v>0</v>
      </c>
      <c r="CI43" s="5" t="s">
        <v>91</v>
      </c>
      <c r="CK43" t="s">
        <v>91</v>
      </c>
      <c r="CM43" s="5" t="s">
        <v>157</v>
      </c>
      <c r="CO43" t="s">
        <v>91</v>
      </c>
    </row>
    <row r="44" spans="1:93" x14ac:dyDescent="0.35">
      <c r="A44" s="3" t="s">
        <v>54</v>
      </c>
      <c r="B44" s="3" t="s">
        <v>146</v>
      </c>
      <c r="C44" s="3" t="s">
        <v>154</v>
      </c>
      <c r="D44" s="2" t="s">
        <v>107</v>
      </c>
      <c r="E44" s="3" t="s">
        <v>70</v>
      </c>
      <c r="F44" s="5"/>
      <c r="G44" s="14">
        <v>20</v>
      </c>
      <c r="H44" s="7">
        <v>19.899999999999999</v>
      </c>
      <c r="I44" s="3">
        <v>4.9214219045178886</v>
      </c>
      <c r="J44" s="4">
        <f t="shared" si="12"/>
        <v>0.24730763339285874</v>
      </c>
      <c r="K44" s="3">
        <v>112725.33024016366</v>
      </c>
      <c r="L44" s="17">
        <v>4.6000000000000005</v>
      </c>
      <c r="M44" s="17">
        <v>140000</v>
      </c>
      <c r="N44" s="4">
        <v>1</v>
      </c>
      <c r="O44" s="6">
        <v>1.1428571428571428</v>
      </c>
      <c r="P44" s="7">
        <v>2.2062499999999998</v>
      </c>
      <c r="Q44" s="31">
        <v>8</v>
      </c>
      <c r="R44" s="31">
        <v>0</v>
      </c>
      <c r="S44" s="31">
        <f t="shared" si="6"/>
        <v>8</v>
      </c>
      <c r="T44" s="15"/>
      <c r="U44" s="7">
        <v>20</v>
      </c>
      <c r="V44" s="7">
        <v>20</v>
      </c>
      <c r="W44" s="3">
        <v>2.8882948695431523</v>
      </c>
      <c r="X44" s="4">
        <f t="shared" si="7"/>
        <v>0.1444147434771576</v>
      </c>
      <c r="Y44" s="3">
        <v>123997.86326418004</v>
      </c>
      <c r="Z44" s="17">
        <v>4.6000000000000005</v>
      </c>
      <c r="AA44" s="17"/>
      <c r="AB44" s="17"/>
      <c r="AC44" s="3"/>
      <c r="AD44" s="7">
        <v>2.2222222222222223</v>
      </c>
      <c r="AE44" s="30"/>
      <c r="AF44" s="30"/>
      <c r="AG44" s="30"/>
      <c r="AI44" s="3">
        <v>12</v>
      </c>
      <c r="AJ44" s="3">
        <v>12</v>
      </c>
      <c r="AK44" s="3">
        <v>-5.1117051304568477</v>
      </c>
      <c r="AL44" s="4">
        <f t="shared" si="8"/>
        <v>-0.42597542753807066</v>
      </c>
      <c r="AM44" s="3">
        <v>123997.86326418004</v>
      </c>
      <c r="AN44" s="17">
        <v>4.6000000000000005</v>
      </c>
      <c r="AO44" s="17"/>
      <c r="AP44" s="17"/>
      <c r="AQ44" s="3"/>
      <c r="AR44" s="7">
        <v>1.3333333333333333</v>
      </c>
      <c r="AS44" s="30"/>
      <c r="AT44" s="30"/>
      <c r="AU44" s="30"/>
      <c r="AW44" s="17">
        <v>15</v>
      </c>
      <c r="AX44" s="17">
        <v>15</v>
      </c>
      <c r="AY44" s="17">
        <v>-2.1117051304568477</v>
      </c>
      <c r="AZ44" s="4">
        <v>-0.1407803420304565</v>
      </c>
      <c r="BA44" s="3">
        <v>123997.86326418004</v>
      </c>
      <c r="BB44" s="17">
        <f t="shared" si="9"/>
        <v>4.6000000000000005</v>
      </c>
      <c r="BC44" s="17"/>
      <c r="BD44" s="17"/>
      <c r="BE44" s="3"/>
      <c r="BF44" s="7">
        <v>1.6666666666666667</v>
      </c>
      <c r="BG44" s="30"/>
      <c r="BH44" s="30"/>
      <c r="BI44" s="30"/>
      <c r="BK44" s="17">
        <f t="shared" si="13"/>
        <v>67</v>
      </c>
      <c r="BL44" s="17">
        <f t="shared" si="14"/>
        <v>66.900000000000006</v>
      </c>
      <c r="BM44" s="17">
        <f t="shared" si="15"/>
        <v>0.5863065131473455</v>
      </c>
      <c r="BN44" s="4">
        <f t="shared" si="10"/>
        <v>8.7639239633384974E-3</v>
      </c>
      <c r="BO44" s="3">
        <f t="shared" si="16"/>
        <v>121179.73000817593</v>
      </c>
      <c r="BP44" s="7">
        <f t="shared" si="17"/>
        <v>4.6000000000000005</v>
      </c>
      <c r="BQ44" s="3"/>
      <c r="BR44" s="3"/>
      <c r="BS44" s="7"/>
      <c r="BT44" s="7">
        <f t="shared" si="11"/>
        <v>1.8571180555555555</v>
      </c>
      <c r="BU44" s="30"/>
      <c r="BV44" s="30"/>
      <c r="BW44" s="30"/>
      <c r="BY44" s="5" t="s">
        <v>90</v>
      </c>
      <c r="BZ44" s="5" t="s">
        <v>90</v>
      </c>
      <c r="CA44" s="5" t="s">
        <v>90</v>
      </c>
      <c r="CC44" s="21">
        <f>1308437.5/100000</f>
        <v>13.084375</v>
      </c>
      <c r="CE44">
        <v>11.2</v>
      </c>
      <c r="CG44">
        <f>853288/100000</f>
        <v>8.5328800000000005</v>
      </c>
      <c r="CI44" s="5" t="s">
        <v>91</v>
      </c>
      <c r="CK44" t="s">
        <v>91</v>
      </c>
      <c r="CM44" s="5" t="s">
        <v>105</v>
      </c>
      <c r="CO44" t="s">
        <v>91</v>
      </c>
    </row>
    <row r="45" spans="1:93" x14ac:dyDescent="0.35">
      <c r="A45" s="3" t="s">
        <v>55</v>
      </c>
      <c r="B45" s="3" t="s">
        <v>146</v>
      </c>
      <c r="C45" s="3" t="s">
        <v>152</v>
      </c>
      <c r="D45" s="2" t="s">
        <v>107</v>
      </c>
      <c r="E45" s="3" t="s">
        <v>70</v>
      </c>
      <c r="F45" s="5"/>
      <c r="G45" s="14">
        <v>33.580799999999996</v>
      </c>
      <c r="H45" s="7">
        <v>21.72</v>
      </c>
      <c r="I45" s="3">
        <v>5.3945675004542979</v>
      </c>
      <c r="J45" s="4">
        <f t="shared" si="12"/>
        <v>0.24836866945001373</v>
      </c>
      <c r="K45" s="3">
        <v>115651.32991422365</v>
      </c>
      <c r="L45" s="17">
        <v>4</v>
      </c>
      <c r="M45" s="17">
        <v>98000</v>
      </c>
      <c r="N45" s="4">
        <v>0.8571428571428571</v>
      </c>
      <c r="O45" s="6">
        <v>1.7142857142857142</v>
      </c>
      <c r="P45" s="7">
        <v>2.9047555555555555</v>
      </c>
      <c r="Q45" s="31">
        <v>12</v>
      </c>
      <c r="R45" s="31">
        <v>2</v>
      </c>
      <c r="S45" s="31">
        <f t="shared" si="6"/>
        <v>14</v>
      </c>
      <c r="T45" s="15"/>
      <c r="U45" s="7">
        <v>43.296000000000006</v>
      </c>
      <c r="V45" s="7">
        <v>30</v>
      </c>
      <c r="W45" s="3">
        <v>14.734024451322476</v>
      </c>
      <c r="X45" s="4">
        <f t="shared" si="7"/>
        <v>0.49113414837741587</v>
      </c>
      <c r="Y45" s="3">
        <v>127216.46290564603</v>
      </c>
      <c r="Z45" s="17">
        <v>4</v>
      </c>
      <c r="AA45" s="17"/>
      <c r="AB45" s="17"/>
      <c r="AC45" s="3"/>
      <c r="AD45" s="7">
        <v>4.8106666666666671</v>
      </c>
      <c r="AE45" s="30"/>
      <c r="AF45" s="30"/>
      <c r="AG45" s="30"/>
      <c r="AI45" s="3">
        <v>43.296000000000006</v>
      </c>
      <c r="AJ45" s="3">
        <v>43.296000000000006</v>
      </c>
      <c r="AK45" s="3">
        <v>28.030024451322483</v>
      </c>
      <c r="AL45" s="4">
        <f t="shared" si="8"/>
        <v>0.64740448196883038</v>
      </c>
      <c r="AM45" s="3">
        <v>127216.46290564603</v>
      </c>
      <c r="AN45" s="17">
        <v>4</v>
      </c>
      <c r="AO45" s="17"/>
      <c r="AP45" s="17"/>
      <c r="AQ45" s="3"/>
      <c r="AR45" s="7">
        <v>4.8106666666666671</v>
      </c>
      <c r="AS45" s="30"/>
      <c r="AT45" s="30"/>
      <c r="AU45" s="30"/>
      <c r="AW45" s="17">
        <v>43.296000000000006</v>
      </c>
      <c r="AX45" s="17">
        <v>43.296000000000006</v>
      </c>
      <c r="AY45" s="17">
        <v>28.030024451322483</v>
      </c>
      <c r="AZ45" s="4">
        <v>0.64740448196883038</v>
      </c>
      <c r="BA45" s="3">
        <v>127216.46290564603</v>
      </c>
      <c r="BB45" s="17">
        <f t="shared" si="9"/>
        <v>4</v>
      </c>
      <c r="BC45" s="17"/>
      <c r="BD45" s="17"/>
      <c r="BE45" s="3"/>
      <c r="BF45" s="7">
        <v>4.8106666666666671</v>
      </c>
      <c r="BG45" s="30"/>
      <c r="BH45" s="30"/>
      <c r="BI45" s="30"/>
      <c r="BK45" s="17">
        <f t="shared" si="13"/>
        <v>163.46880000000004</v>
      </c>
      <c r="BL45" s="17">
        <f t="shared" si="14"/>
        <v>138.31200000000001</v>
      </c>
      <c r="BM45" s="17">
        <f t="shared" si="15"/>
        <v>76.188640854421735</v>
      </c>
      <c r="BN45" s="4">
        <f t="shared" si="10"/>
        <v>0.55084620896539516</v>
      </c>
      <c r="BO45" s="3">
        <f t="shared" si="16"/>
        <v>124325.17965779043</v>
      </c>
      <c r="BP45" s="7">
        <f t="shared" si="17"/>
        <v>4</v>
      </c>
      <c r="BQ45" s="3"/>
      <c r="BR45" s="3"/>
      <c r="BS45" s="7"/>
      <c r="BT45" s="7">
        <f t="shared" si="11"/>
        <v>4.3341888888888889</v>
      </c>
      <c r="BU45" s="30"/>
      <c r="BV45" s="30"/>
      <c r="BW45" s="30"/>
      <c r="BY45" s="5" t="s">
        <v>90</v>
      </c>
      <c r="BZ45" s="5" t="s">
        <v>90</v>
      </c>
      <c r="CA45" s="5" t="s">
        <v>90</v>
      </c>
      <c r="CC45" s="21">
        <f>1574400/100000</f>
        <v>15.744</v>
      </c>
      <c r="CE45">
        <v>13.72</v>
      </c>
      <c r="CI45" s="5" t="s">
        <v>91</v>
      </c>
      <c r="CK45" t="s">
        <v>90</v>
      </c>
      <c r="CM45" s="5" t="s">
        <v>105</v>
      </c>
      <c r="CO45" t="s">
        <v>91</v>
      </c>
    </row>
    <row r="46" spans="1:93" x14ac:dyDescent="0.35">
      <c r="A46" s="3" t="s">
        <v>56</v>
      </c>
      <c r="B46" s="3" t="s">
        <v>142</v>
      </c>
      <c r="C46" s="3" t="s">
        <v>83</v>
      </c>
      <c r="D46" s="25" t="s">
        <v>107</v>
      </c>
      <c r="E46" s="3" t="s">
        <v>2</v>
      </c>
      <c r="F46" s="5"/>
      <c r="G46" s="14">
        <v>19.099999999999998</v>
      </c>
      <c r="H46" s="7">
        <v>26.685100000000002</v>
      </c>
      <c r="I46" s="3">
        <v>9.1489039781681107</v>
      </c>
      <c r="J46" s="4">
        <f t="shared" si="12"/>
        <v>0.34284690625735376</v>
      </c>
      <c r="K46" s="3">
        <v>74953.145229196627</v>
      </c>
      <c r="L46" s="17">
        <v>6.333333333333333</v>
      </c>
      <c r="M46" s="17">
        <v>50939.268292682929</v>
      </c>
      <c r="N46" s="4">
        <v>0.68292682926829273</v>
      </c>
      <c r="O46" s="6">
        <v>2.8</v>
      </c>
      <c r="P46" s="7">
        <v>1.6966666666666668</v>
      </c>
      <c r="Q46" s="31">
        <v>28</v>
      </c>
      <c r="R46" s="31">
        <v>13</v>
      </c>
      <c r="S46" s="31">
        <f t="shared" si="6"/>
        <v>41</v>
      </c>
      <c r="T46" s="15"/>
      <c r="U46" s="7">
        <v>20.399999999999999</v>
      </c>
      <c r="V46" s="7">
        <v>19.940000000000001</v>
      </c>
      <c r="W46" s="3">
        <v>5.7347926470979029</v>
      </c>
      <c r="X46" s="4">
        <f t="shared" si="7"/>
        <v>0.28760243967391685</v>
      </c>
      <c r="Y46" s="3">
        <v>82448.459752116294</v>
      </c>
      <c r="Z46" s="17">
        <v>6.333333333333333</v>
      </c>
      <c r="AA46" s="17"/>
      <c r="AB46" s="17"/>
      <c r="AC46" s="3"/>
      <c r="AD46" s="7">
        <v>1.3599999999999999</v>
      </c>
      <c r="AE46" s="30"/>
      <c r="AF46" s="30"/>
      <c r="AG46" s="30"/>
      <c r="AI46" s="3">
        <v>21.65</v>
      </c>
      <c r="AJ46" s="3">
        <v>21.65</v>
      </c>
      <c r="AK46" s="3">
        <v>5.9847926470979029</v>
      </c>
      <c r="AL46" s="4">
        <f t="shared" si="8"/>
        <v>0.27643384051260522</v>
      </c>
      <c r="AM46" s="3">
        <v>82448.459752116294</v>
      </c>
      <c r="AN46" s="17">
        <v>6.333333333333333</v>
      </c>
      <c r="AO46" s="17"/>
      <c r="AP46" s="17"/>
      <c r="AQ46" s="3"/>
      <c r="AR46" s="7">
        <v>1.4433333333333331</v>
      </c>
      <c r="AS46" s="30"/>
      <c r="AT46" s="30"/>
      <c r="AU46" s="30"/>
      <c r="AW46" s="17">
        <v>20.100000000000001</v>
      </c>
      <c r="AX46" s="17">
        <v>20.100000000000001</v>
      </c>
      <c r="AY46" s="17">
        <v>4.4347926470979058</v>
      </c>
      <c r="AZ46" s="4">
        <v>0.22063645010437341</v>
      </c>
      <c r="BA46" s="3">
        <v>82448.459752116294</v>
      </c>
      <c r="BB46" s="17">
        <f t="shared" si="9"/>
        <v>6.333333333333333</v>
      </c>
      <c r="BC46" s="17"/>
      <c r="BD46" s="17"/>
      <c r="BE46" s="3"/>
      <c r="BF46" s="7">
        <v>1.34</v>
      </c>
      <c r="BG46" s="30"/>
      <c r="BH46" s="30"/>
      <c r="BI46" s="30"/>
      <c r="BK46" s="17">
        <f t="shared" si="13"/>
        <v>81.25</v>
      </c>
      <c r="BL46" s="17">
        <f t="shared" si="14"/>
        <v>88.375100000000003</v>
      </c>
      <c r="BM46" s="17">
        <f t="shared" si="15"/>
        <v>25.303281919461821</v>
      </c>
      <c r="BN46" s="4">
        <f t="shared" si="10"/>
        <v>0.2863168688857135</v>
      </c>
      <c r="BO46" s="3">
        <f t="shared" si="16"/>
        <v>80574.631121386381</v>
      </c>
      <c r="BP46" s="7">
        <f t="shared" si="17"/>
        <v>6.333333333333333</v>
      </c>
      <c r="BQ46" s="3"/>
      <c r="BR46" s="3"/>
      <c r="BS46" s="7"/>
      <c r="BT46" s="7">
        <f t="shared" si="11"/>
        <v>1.46</v>
      </c>
      <c r="BU46" s="30"/>
      <c r="BV46" s="30"/>
      <c r="BW46" s="30"/>
      <c r="BY46" s="5" t="s">
        <v>90</v>
      </c>
      <c r="BZ46" s="5" t="s">
        <v>90</v>
      </c>
      <c r="CA46" s="5" t="s">
        <v>90</v>
      </c>
      <c r="CC46" s="21"/>
      <c r="CE46">
        <v>0</v>
      </c>
      <c r="CI46" s="5" t="s">
        <v>91</v>
      </c>
      <c r="CK46" t="s">
        <v>91</v>
      </c>
      <c r="CM46" s="5" t="s">
        <v>104</v>
      </c>
      <c r="CO46" t="s">
        <v>91</v>
      </c>
    </row>
    <row r="47" spans="1:93" x14ac:dyDescent="0.35">
      <c r="A47" s="3" t="s">
        <v>57</v>
      </c>
      <c r="B47" s="3" t="s">
        <v>142</v>
      </c>
      <c r="C47" s="3" t="s">
        <v>83</v>
      </c>
      <c r="D47" s="25" t="s">
        <v>107</v>
      </c>
      <c r="E47" s="3" t="s">
        <v>2</v>
      </c>
      <c r="F47" s="5"/>
      <c r="G47" s="14">
        <v>12</v>
      </c>
      <c r="H47" s="7">
        <v>14.6951</v>
      </c>
      <c r="I47" s="3">
        <v>5.8051199605303712</v>
      </c>
      <c r="J47" s="4">
        <f t="shared" si="12"/>
        <v>0.39503779903031427</v>
      </c>
      <c r="K47" s="3">
        <v>108677.95830910001</v>
      </c>
      <c r="L47" s="17">
        <v>2.3333333333333335</v>
      </c>
      <c r="M47" s="17">
        <v>71300.666666666672</v>
      </c>
      <c r="N47" s="4">
        <v>1</v>
      </c>
      <c r="O47" s="6">
        <v>2.5</v>
      </c>
      <c r="P47" s="7">
        <v>1.7125166666666667</v>
      </c>
      <c r="Q47" s="31">
        <v>15</v>
      </c>
      <c r="R47" s="31">
        <v>0</v>
      </c>
      <c r="S47" s="31">
        <f t="shared" si="6"/>
        <v>15</v>
      </c>
      <c r="T47" s="15"/>
      <c r="U47" s="7">
        <v>12</v>
      </c>
      <c r="V47" s="7">
        <v>12</v>
      </c>
      <c r="W47" s="3">
        <v>3.6317972101992986</v>
      </c>
      <c r="X47" s="4">
        <f t="shared" si="7"/>
        <v>0.30264976751660821</v>
      </c>
      <c r="Y47" s="3">
        <v>119545.75414001002</v>
      </c>
      <c r="Z47" s="17">
        <v>2.3333333333333335</v>
      </c>
      <c r="AA47" s="17"/>
      <c r="AB47" s="17"/>
      <c r="AC47" s="3"/>
      <c r="AD47" s="7">
        <v>2</v>
      </c>
      <c r="AE47" s="30"/>
      <c r="AF47" s="30"/>
      <c r="AG47" s="30"/>
      <c r="AI47" s="3">
        <v>12</v>
      </c>
      <c r="AJ47" s="3">
        <v>12</v>
      </c>
      <c r="AK47" s="3">
        <v>3.6317972101992986</v>
      </c>
      <c r="AL47" s="4">
        <f t="shared" si="8"/>
        <v>0.30264976751660821</v>
      </c>
      <c r="AM47" s="3">
        <v>119545.75414001002</v>
      </c>
      <c r="AN47" s="17">
        <v>2.3333333333333335</v>
      </c>
      <c r="AO47" s="17"/>
      <c r="AP47" s="17"/>
      <c r="AQ47" s="3"/>
      <c r="AR47" s="7">
        <v>2</v>
      </c>
      <c r="AS47" s="30"/>
      <c r="AT47" s="30"/>
      <c r="AU47" s="30"/>
      <c r="AW47" s="17">
        <v>12</v>
      </c>
      <c r="AX47" s="17">
        <v>12</v>
      </c>
      <c r="AY47" s="17">
        <v>3.6317972101992986</v>
      </c>
      <c r="AZ47" s="4">
        <v>0.30264976751660821</v>
      </c>
      <c r="BA47" s="3">
        <v>119545.75414001002</v>
      </c>
      <c r="BB47" s="17">
        <f t="shared" si="9"/>
        <v>2.3333333333333335</v>
      </c>
      <c r="BC47" s="17"/>
      <c r="BD47" s="17"/>
      <c r="BE47" s="3"/>
      <c r="BF47" s="7">
        <v>2</v>
      </c>
      <c r="BG47" s="30"/>
      <c r="BH47" s="30"/>
      <c r="BI47" s="30"/>
      <c r="BK47" s="17">
        <f t="shared" si="13"/>
        <v>48</v>
      </c>
      <c r="BL47" s="17">
        <f t="shared" si="14"/>
        <v>50.695099999999996</v>
      </c>
      <c r="BM47" s="17">
        <f t="shared" si="15"/>
        <v>16.700511591128269</v>
      </c>
      <c r="BN47" s="4">
        <f t="shared" si="10"/>
        <v>0.32943048916223205</v>
      </c>
      <c r="BO47" s="3">
        <f t="shared" si="16"/>
        <v>116828.80518228252</v>
      </c>
      <c r="BP47" s="7">
        <f t="shared" si="17"/>
        <v>2.3333333333333335</v>
      </c>
      <c r="BQ47" s="3"/>
      <c r="BR47" s="3"/>
      <c r="BS47" s="7"/>
      <c r="BT47" s="7">
        <f t="shared" si="11"/>
        <v>1.9281291666666667</v>
      </c>
      <c r="BU47" s="30"/>
      <c r="BV47" s="30"/>
      <c r="BW47" s="30"/>
      <c r="BY47" s="5" t="s">
        <v>90</v>
      </c>
      <c r="BZ47" s="5" t="s">
        <v>90</v>
      </c>
      <c r="CA47" s="5" t="s">
        <v>90</v>
      </c>
      <c r="CC47" s="21"/>
      <c r="CE47">
        <v>0</v>
      </c>
      <c r="CI47" s="5" t="s">
        <v>91</v>
      </c>
      <c r="CK47" t="s">
        <v>91</v>
      </c>
      <c r="CM47" s="5" t="s">
        <v>105</v>
      </c>
      <c r="CO47" t="s">
        <v>91</v>
      </c>
    </row>
    <row r="48" spans="1:93" x14ac:dyDescent="0.35">
      <c r="A48" s="3" t="s">
        <v>58</v>
      </c>
      <c r="B48" s="3" t="s">
        <v>143</v>
      </c>
      <c r="C48" s="3" t="s">
        <v>143</v>
      </c>
      <c r="D48" s="2" t="s">
        <v>107</v>
      </c>
      <c r="E48" s="3" t="s">
        <v>72</v>
      </c>
      <c r="F48" s="5"/>
      <c r="G48" s="14">
        <v>137.5</v>
      </c>
      <c r="H48" s="7">
        <v>180.4</v>
      </c>
      <c r="I48" s="3">
        <v>105.69332839241594</v>
      </c>
      <c r="J48" s="4">
        <f t="shared" si="12"/>
        <v>0.58588319507991093</v>
      </c>
      <c r="K48" s="3">
        <v>104841.14470569149</v>
      </c>
      <c r="L48" s="17">
        <v>24.666666666666668</v>
      </c>
      <c r="M48" s="17">
        <v>57863.24786324786</v>
      </c>
      <c r="N48" s="4">
        <v>0.89743589743589747</v>
      </c>
      <c r="O48" s="6">
        <v>5.0541516245487372</v>
      </c>
      <c r="P48" s="7">
        <v>2.7543859649122808</v>
      </c>
      <c r="Q48" s="31">
        <v>210</v>
      </c>
      <c r="R48" s="31">
        <v>24</v>
      </c>
      <c r="S48" s="31">
        <f t="shared" si="6"/>
        <v>234</v>
      </c>
      <c r="T48" s="15"/>
      <c r="U48" s="7">
        <v>137.5</v>
      </c>
      <c r="V48" s="7">
        <v>137.5</v>
      </c>
      <c r="W48" s="3">
        <v>52.159308209567129</v>
      </c>
      <c r="X48" s="4">
        <f t="shared" si="7"/>
        <v>0.37934042334230639</v>
      </c>
      <c r="Y48" s="3">
        <v>115325.25917626065</v>
      </c>
      <c r="Z48" s="17">
        <v>24.666666666666668</v>
      </c>
      <c r="AA48" s="17"/>
      <c r="AB48" s="17"/>
      <c r="AC48" s="3"/>
      <c r="AD48" s="7">
        <v>2.4122807017543861</v>
      </c>
      <c r="AE48" s="30"/>
      <c r="AF48" s="30"/>
      <c r="AG48" s="30"/>
      <c r="AI48" s="3">
        <v>137.5</v>
      </c>
      <c r="AJ48" s="3">
        <v>137.5</v>
      </c>
      <c r="AK48" s="3">
        <v>52.159308209567129</v>
      </c>
      <c r="AL48" s="4">
        <f t="shared" si="8"/>
        <v>0.37934042334230639</v>
      </c>
      <c r="AM48" s="3">
        <v>115325.25917626065</v>
      </c>
      <c r="AN48" s="17">
        <v>24.666666666666668</v>
      </c>
      <c r="AO48" s="17"/>
      <c r="AP48" s="17"/>
      <c r="AQ48" s="3"/>
      <c r="AR48" s="7">
        <v>2.4122807017543861</v>
      </c>
      <c r="AS48" s="30"/>
      <c r="AT48" s="30"/>
      <c r="AU48" s="30"/>
      <c r="AW48" s="17">
        <v>137.5</v>
      </c>
      <c r="AX48" s="17">
        <v>137.5</v>
      </c>
      <c r="AY48" s="17">
        <v>52.159308209567129</v>
      </c>
      <c r="AZ48" s="4">
        <v>0.37934042334230639</v>
      </c>
      <c r="BA48" s="3">
        <v>115325.25917626065</v>
      </c>
      <c r="BB48" s="17">
        <f t="shared" si="9"/>
        <v>24.666666666666668</v>
      </c>
      <c r="BC48" s="17"/>
      <c r="BD48" s="17"/>
      <c r="BE48" s="3"/>
      <c r="BF48" s="7">
        <v>2.4122807017543861</v>
      </c>
      <c r="BG48" s="30"/>
      <c r="BH48" s="30"/>
      <c r="BI48" s="30"/>
      <c r="BK48" s="17">
        <f t="shared" si="13"/>
        <v>550</v>
      </c>
      <c r="BL48" s="17">
        <f t="shared" si="14"/>
        <v>592.9</v>
      </c>
      <c r="BM48" s="17">
        <f t="shared" si="15"/>
        <v>262.17125302111731</v>
      </c>
      <c r="BN48" s="4">
        <f t="shared" si="10"/>
        <v>0.44218460620866473</v>
      </c>
      <c r="BO48" s="3">
        <f t="shared" si="16"/>
        <v>112704.23055861835</v>
      </c>
      <c r="BP48" s="7">
        <f t="shared" si="17"/>
        <v>24.666666666666668</v>
      </c>
      <c r="BQ48" s="3"/>
      <c r="BR48" s="3"/>
      <c r="BS48" s="7"/>
      <c r="BT48" s="7">
        <f t="shared" si="11"/>
        <v>2.4978070175438596</v>
      </c>
      <c r="BU48" s="30"/>
      <c r="BV48" s="30"/>
      <c r="BW48" s="30"/>
      <c r="BY48" s="5" t="s">
        <v>90</v>
      </c>
      <c r="BZ48" s="5" t="s">
        <v>90</v>
      </c>
      <c r="CA48" s="5" t="s">
        <v>90</v>
      </c>
      <c r="CC48" s="21">
        <f>422210/100000</f>
        <v>4.2221000000000002</v>
      </c>
      <c r="CE48">
        <v>58.6023</v>
      </c>
      <c r="CG48">
        <f>1218061/100000</f>
        <v>12.18061</v>
      </c>
      <c r="CI48" s="5" t="s">
        <v>91</v>
      </c>
      <c r="CK48" t="s">
        <v>91</v>
      </c>
      <c r="CM48" s="5" t="s">
        <v>105</v>
      </c>
      <c r="CO48" t="s">
        <v>90</v>
      </c>
    </row>
    <row r="49" spans="1:93" x14ac:dyDescent="0.35">
      <c r="A49" s="3" t="s">
        <v>59</v>
      </c>
      <c r="B49" s="3" t="s">
        <v>142</v>
      </c>
      <c r="C49" s="3" t="s">
        <v>83</v>
      </c>
      <c r="D49" s="25" t="s">
        <v>108</v>
      </c>
      <c r="E49" s="3" t="s">
        <v>2</v>
      </c>
      <c r="F49" s="5"/>
      <c r="G49" s="14">
        <v>81.63</v>
      </c>
      <c r="H49" s="7">
        <v>72.691798554999991</v>
      </c>
      <c r="I49" s="3">
        <v>7.2647824119171851</v>
      </c>
      <c r="J49" s="4">
        <f t="shared" si="12"/>
        <v>9.9939505643411933E-2</v>
      </c>
      <c r="K49" s="3">
        <v>101000</v>
      </c>
      <c r="L49" s="17">
        <v>19</v>
      </c>
      <c r="M49" s="17">
        <v>60129.293739436602</v>
      </c>
      <c r="N49" s="4">
        <v>0.84507042253521125</v>
      </c>
      <c r="O49" s="6">
        <v>1.7123287671232876</v>
      </c>
      <c r="P49" s="7">
        <v>1.5</v>
      </c>
      <c r="Q49" s="31">
        <v>60</v>
      </c>
      <c r="R49" s="31">
        <v>11</v>
      </c>
      <c r="S49" s="31">
        <f t="shared" si="6"/>
        <v>71</v>
      </c>
      <c r="T49" s="15"/>
      <c r="U49" s="7">
        <v>115.69</v>
      </c>
      <c r="V49" s="7">
        <v>55</v>
      </c>
      <c r="W49" s="3">
        <v>52.362999999999985</v>
      </c>
      <c r="X49" s="4">
        <f t="shared" si="7"/>
        <v>0.95205454545454515</v>
      </c>
      <c r="Y49" s="3">
        <v>111100.00000000001</v>
      </c>
      <c r="Z49" s="17">
        <v>19</v>
      </c>
      <c r="AA49" s="17"/>
      <c r="AB49" s="17"/>
      <c r="AC49" s="3"/>
      <c r="AD49" s="7">
        <v>2.4102083333333333</v>
      </c>
      <c r="AE49" s="30"/>
      <c r="AF49" s="30"/>
      <c r="AG49" s="30"/>
      <c r="AI49" s="3">
        <v>122.78999999999999</v>
      </c>
      <c r="AJ49" s="3">
        <v>122.78999999999999</v>
      </c>
      <c r="AK49" s="3">
        <v>59.46299999999998</v>
      </c>
      <c r="AL49" s="4">
        <f t="shared" si="8"/>
        <v>0.48426581969215721</v>
      </c>
      <c r="AM49" s="3">
        <v>111100.00000000001</v>
      </c>
      <c r="AN49" s="17">
        <v>19</v>
      </c>
      <c r="AO49" s="17"/>
      <c r="AP49" s="17"/>
      <c r="AQ49" s="3"/>
      <c r="AR49" s="7">
        <v>2.558125</v>
      </c>
      <c r="AS49" s="30"/>
      <c r="AT49" s="30"/>
      <c r="AU49" s="30"/>
      <c r="AW49" s="17">
        <v>122.78999999999999</v>
      </c>
      <c r="AX49" s="17">
        <v>122.78999999999999</v>
      </c>
      <c r="AY49" s="17">
        <v>59.46299999999998</v>
      </c>
      <c r="AZ49" s="4">
        <v>0.48426581969215721</v>
      </c>
      <c r="BA49" s="3">
        <v>111100.00000000001</v>
      </c>
      <c r="BB49" s="17">
        <f t="shared" si="9"/>
        <v>19</v>
      </c>
      <c r="BC49" s="17"/>
      <c r="BD49" s="17"/>
      <c r="BE49" s="3"/>
      <c r="BF49" s="7">
        <v>2.558125</v>
      </c>
      <c r="BG49" s="30"/>
      <c r="BH49" s="30"/>
      <c r="BI49" s="30"/>
      <c r="BK49" s="17">
        <f t="shared" si="13"/>
        <v>442.9</v>
      </c>
      <c r="BL49" s="17">
        <f t="shared" si="14"/>
        <v>373.27179855499998</v>
      </c>
      <c r="BM49" s="17">
        <f t="shared" si="15"/>
        <v>178.55378241191713</v>
      </c>
      <c r="BN49" s="4">
        <f t="shared" si="10"/>
        <v>0.47834790386825327</v>
      </c>
      <c r="BO49" s="3">
        <f t="shared" si="16"/>
        <v>108575</v>
      </c>
      <c r="BP49" s="7">
        <f t="shared" si="17"/>
        <v>19</v>
      </c>
      <c r="BQ49" s="3"/>
      <c r="BR49" s="3"/>
      <c r="BS49" s="7"/>
      <c r="BT49" s="7">
        <f t="shared" si="11"/>
        <v>2.2566145833333335</v>
      </c>
      <c r="BU49" s="30"/>
      <c r="BV49" s="30"/>
      <c r="BW49" s="30"/>
      <c r="BY49" s="5" t="s">
        <v>90</v>
      </c>
      <c r="BZ49" s="5" t="s">
        <v>90</v>
      </c>
      <c r="CA49" s="5" t="s">
        <v>90</v>
      </c>
      <c r="CC49" s="21"/>
      <c r="CE49">
        <v>42.691798554999998</v>
      </c>
      <c r="CG49">
        <f>265500/100000</f>
        <v>2.6549999999999998</v>
      </c>
      <c r="CI49" s="5" t="s">
        <v>91</v>
      </c>
      <c r="CK49" t="s">
        <v>91</v>
      </c>
      <c r="CM49" s="5" t="s">
        <v>105</v>
      </c>
      <c r="CO49" t="s">
        <v>90</v>
      </c>
    </row>
    <row r="50" spans="1:93" x14ac:dyDescent="0.35">
      <c r="A50" s="3" t="s">
        <v>82</v>
      </c>
      <c r="B50" s="3" t="s">
        <v>142</v>
      </c>
      <c r="C50" s="3" t="s">
        <v>127</v>
      </c>
      <c r="D50" s="25" t="s">
        <v>108</v>
      </c>
      <c r="E50" s="3" t="s">
        <v>85</v>
      </c>
      <c r="F50" s="5"/>
      <c r="G50" s="14">
        <v>21.75</v>
      </c>
      <c r="H50" s="7">
        <v>22.31129</v>
      </c>
      <c r="I50" s="3">
        <v>17.661625503625256</v>
      </c>
      <c r="J50" s="4">
        <f t="shared" si="12"/>
        <v>0.7916003737849876</v>
      </c>
      <c r="K50" s="3">
        <v>101000</v>
      </c>
      <c r="L50" s="17">
        <v>1.3333333333333333</v>
      </c>
      <c r="M50" s="17">
        <v>156112.9</v>
      </c>
      <c r="N50" s="4">
        <v>1</v>
      </c>
      <c r="O50" s="6">
        <v>5</v>
      </c>
      <c r="P50" s="7">
        <v>7.2004300000000008</v>
      </c>
      <c r="Q50" s="31">
        <v>10</v>
      </c>
      <c r="R50" s="31">
        <v>0</v>
      </c>
      <c r="S50" s="31">
        <f t="shared" si="6"/>
        <v>10</v>
      </c>
      <c r="T50" s="15"/>
      <c r="U50" s="7">
        <v>24.900000000000002</v>
      </c>
      <c r="V50" s="7">
        <v>24.900000000000002</v>
      </c>
      <c r="W50" s="3">
        <v>20.456000000000003</v>
      </c>
      <c r="X50" s="4">
        <f t="shared" si="7"/>
        <v>0.82152610441767071</v>
      </c>
      <c r="Y50" s="3">
        <v>111100.00000000001</v>
      </c>
      <c r="Z50" s="17">
        <v>1.3333333333333333</v>
      </c>
      <c r="AA50" s="17"/>
      <c r="AB50" s="17"/>
      <c r="AC50" s="3"/>
      <c r="AD50" s="7">
        <v>8.3000000000000007</v>
      </c>
      <c r="AE50" s="30"/>
      <c r="AF50" s="30"/>
      <c r="AG50" s="30"/>
      <c r="AI50" s="3">
        <v>23.700000000000003</v>
      </c>
      <c r="AJ50" s="3">
        <v>23.700000000000003</v>
      </c>
      <c r="AK50" s="3">
        <v>19.256</v>
      </c>
      <c r="AL50" s="4">
        <f t="shared" si="8"/>
        <v>0.81248945147679319</v>
      </c>
      <c r="AM50" s="3">
        <v>111100.00000000001</v>
      </c>
      <c r="AN50" s="17">
        <v>1.3333333333333333</v>
      </c>
      <c r="AO50" s="17"/>
      <c r="AP50" s="17"/>
      <c r="AQ50" s="3"/>
      <c r="AR50" s="7">
        <v>7.9000000000000012</v>
      </c>
      <c r="AS50" s="30"/>
      <c r="AT50" s="30"/>
      <c r="AU50" s="30"/>
      <c r="AW50" s="17">
        <v>21.75</v>
      </c>
      <c r="AX50" s="17">
        <v>21.75</v>
      </c>
      <c r="AY50" s="17">
        <v>17.305999999999997</v>
      </c>
      <c r="AZ50" s="4">
        <v>0.79567816091954013</v>
      </c>
      <c r="BA50" s="3">
        <v>111100.00000000001</v>
      </c>
      <c r="BB50" s="17">
        <f t="shared" si="9"/>
        <v>1.3333333333333333</v>
      </c>
      <c r="BC50" s="17"/>
      <c r="BD50" s="17"/>
      <c r="BE50" s="3"/>
      <c r="BF50" s="7">
        <v>7.25</v>
      </c>
      <c r="BG50" s="30"/>
      <c r="BH50" s="30"/>
      <c r="BI50" s="30"/>
      <c r="BK50" s="17">
        <f t="shared" si="13"/>
        <v>92.100000000000009</v>
      </c>
      <c r="BL50" s="17">
        <f t="shared" si="14"/>
        <v>92.661290000000008</v>
      </c>
      <c r="BM50" s="17">
        <f t="shared" si="15"/>
        <v>74.67962550362526</v>
      </c>
      <c r="BN50" s="4">
        <f t="shared" si="10"/>
        <v>0.80594200127826032</v>
      </c>
      <c r="BO50" s="3">
        <f t="shared" si="16"/>
        <v>108575</v>
      </c>
      <c r="BP50" s="7">
        <f t="shared" si="17"/>
        <v>1.3333333333333333</v>
      </c>
      <c r="BQ50" s="3"/>
      <c r="BR50" s="3"/>
      <c r="BS50" s="7"/>
      <c r="BT50" s="7">
        <f t="shared" si="11"/>
        <v>7.6626075000000009</v>
      </c>
      <c r="BU50" s="30"/>
      <c r="BV50" s="30"/>
      <c r="BW50" s="30"/>
      <c r="BY50" s="5" t="s">
        <v>90</v>
      </c>
      <c r="BZ50" s="5" t="s">
        <v>90</v>
      </c>
      <c r="CA50" s="5" t="s">
        <v>90</v>
      </c>
      <c r="CC50" s="21"/>
      <c r="CE50">
        <v>0</v>
      </c>
      <c r="CI50" s="5" t="s">
        <v>91</v>
      </c>
      <c r="CK50" t="s">
        <v>91</v>
      </c>
      <c r="CM50" s="5" t="s">
        <v>105</v>
      </c>
      <c r="CO50" t="s">
        <v>91</v>
      </c>
    </row>
    <row r="51" spans="1:93" x14ac:dyDescent="0.35">
      <c r="A51" s="3" t="s">
        <v>30</v>
      </c>
      <c r="B51" s="3" t="s">
        <v>142</v>
      </c>
      <c r="C51" s="3" t="s">
        <v>83</v>
      </c>
      <c r="D51" s="25" t="s">
        <v>108</v>
      </c>
      <c r="E51" s="3" t="s">
        <v>2</v>
      </c>
      <c r="F51" s="5"/>
      <c r="G51" s="14">
        <v>57</v>
      </c>
      <c r="H51" s="7">
        <v>0.99424999999999997</v>
      </c>
      <c r="I51" s="3">
        <v>-22.893979001766425</v>
      </c>
      <c r="J51" s="4">
        <f t="shared" si="12"/>
        <v>-23.026380690738172</v>
      </c>
      <c r="K51" s="3">
        <v>105755.2061585195</v>
      </c>
      <c r="L51" s="17">
        <v>6</v>
      </c>
      <c r="M51" s="17">
        <v>49712.5</v>
      </c>
      <c r="N51" s="4">
        <v>1</v>
      </c>
      <c r="O51" s="6">
        <v>0.25</v>
      </c>
      <c r="P51" s="7">
        <v>0</v>
      </c>
      <c r="Q51" s="31">
        <v>2</v>
      </c>
      <c r="R51" s="31">
        <v>0</v>
      </c>
      <c r="S51" s="31">
        <f t="shared" si="6"/>
        <v>2</v>
      </c>
      <c r="T51" s="15"/>
      <c r="U51" s="7">
        <v>109.5</v>
      </c>
      <c r="V51" s="7">
        <v>5.0999999999999996</v>
      </c>
      <c r="W51" s="3">
        <v>-15.839530819386864</v>
      </c>
      <c r="X51" s="4">
        <f t="shared" si="7"/>
        <v>-3.1057903567425225</v>
      </c>
      <c r="Y51" s="3">
        <v>116330.72677437146</v>
      </c>
      <c r="Z51" s="17">
        <v>6</v>
      </c>
      <c r="AA51" s="17"/>
      <c r="AB51" s="17"/>
      <c r="AC51" s="3"/>
      <c r="AD51" s="7">
        <v>9.125</v>
      </c>
      <c r="AE51" s="30"/>
      <c r="AF51" s="30"/>
      <c r="AG51" s="30"/>
      <c r="AI51" s="3">
        <v>139.5</v>
      </c>
      <c r="AJ51" s="3">
        <v>139.5</v>
      </c>
      <c r="AK51" s="3">
        <v>118.56046918061314</v>
      </c>
      <c r="AL51" s="4">
        <f t="shared" si="8"/>
        <v>0.84989583642016586</v>
      </c>
      <c r="AM51" s="3">
        <v>116330.72677437146</v>
      </c>
      <c r="AN51" s="17">
        <v>6</v>
      </c>
      <c r="AO51" s="17"/>
      <c r="AP51" s="17"/>
      <c r="AQ51" s="3"/>
      <c r="AR51" s="7">
        <v>11.625</v>
      </c>
      <c r="AS51" s="30"/>
      <c r="AT51" s="30"/>
      <c r="AU51" s="30"/>
      <c r="AW51" s="17">
        <v>139.5</v>
      </c>
      <c r="AX51" s="17">
        <v>139.5</v>
      </c>
      <c r="AY51" s="17">
        <v>118.56046918061314</v>
      </c>
      <c r="AZ51" s="4">
        <v>0.84989583642016586</v>
      </c>
      <c r="BA51" s="3">
        <v>116330.72677437146</v>
      </c>
      <c r="BB51" s="17">
        <f t="shared" si="9"/>
        <v>6</v>
      </c>
      <c r="BC51" s="17"/>
      <c r="BD51" s="17"/>
      <c r="BE51" s="3"/>
      <c r="BF51" s="7">
        <v>11.625</v>
      </c>
      <c r="BG51" s="30"/>
      <c r="BH51" s="30"/>
      <c r="BI51" s="30"/>
      <c r="BK51" s="17">
        <f t="shared" si="13"/>
        <v>445.5</v>
      </c>
      <c r="BL51" s="17">
        <f t="shared" si="14"/>
        <v>285.09425000000005</v>
      </c>
      <c r="BM51" s="17">
        <f t="shared" si="15"/>
        <v>198.38742854007302</v>
      </c>
      <c r="BN51" s="4">
        <f t="shared" si="10"/>
        <v>0.69586611634599083</v>
      </c>
      <c r="BO51" s="3">
        <f t="shared" si="16"/>
        <v>113686.84662040847</v>
      </c>
      <c r="BP51" s="7">
        <f t="shared" si="17"/>
        <v>6</v>
      </c>
      <c r="BQ51" s="3"/>
      <c r="BR51" s="3"/>
      <c r="BS51" s="7"/>
      <c r="BT51" s="7">
        <f t="shared" si="11"/>
        <v>8.09375</v>
      </c>
      <c r="BU51" s="30"/>
      <c r="BV51" s="30"/>
      <c r="BW51" s="30"/>
      <c r="BY51" s="5" t="s">
        <v>90</v>
      </c>
      <c r="BZ51" s="5" t="s">
        <v>90</v>
      </c>
      <c r="CA51" s="5" t="s">
        <v>90</v>
      </c>
      <c r="CC51" s="21"/>
      <c r="CE51">
        <v>0.99424999999999997</v>
      </c>
      <c r="CI51" s="5" t="s">
        <v>91</v>
      </c>
      <c r="CK51" t="s">
        <v>91</v>
      </c>
      <c r="CM51" s="5" t="s">
        <v>105</v>
      </c>
      <c r="CO51" t="s">
        <v>90</v>
      </c>
    </row>
    <row r="52" spans="1:93" x14ac:dyDescent="0.35">
      <c r="A52" s="3" t="s">
        <v>19</v>
      </c>
      <c r="B52" s="3" t="s">
        <v>142</v>
      </c>
      <c r="C52" s="3" t="s">
        <v>84</v>
      </c>
      <c r="D52" s="26" t="s">
        <v>107</v>
      </c>
      <c r="E52" s="3" t="s">
        <v>2</v>
      </c>
      <c r="F52" s="5"/>
      <c r="G52" s="14">
        <v>8</v>
      </c>
      <c r="H52" s="7">
        <v>1.2</v>
      </c>
      <c r="I52" s="3">
        <v>-0.83529551386501233</v>
      </c>
      <c r="J52" s="4">
        <f t="shared" si="12"/>
        <v>-0.69607959488751026</v>
      </c>
      <c r="K52" s="3">
        <v>139414.16149187722</v>
      </c>
      <c r="L52" s="17">
        <v>2</v>
      </c>
      <c r="M52" s="4"/>
      <c r="N52" s="4">
        <v>0</v>
      </c>
      <c r="O52" s="6">
        <v>0</v>
      </c>
      <c r="P52" s="7">
        <v>2</v>
      </c>
      <c r="Q52" s="31">
        <v>0</v>
      </c>
      <c r="R52" s="31">
        <v>0</v>
      </c>
      <c r="S52" s="31">
        <f t="shared" si="6"/>
        <v>0</v>
      </c>
      <c r="T52" s="15"/>
      <c r="U52" s="7">
        <v>6</v>
      </c>
      <c r="V52" s="7">
        <v>9.5</v>
      </c>
      <c r="W52" s="3">
        <v>-3.2013346584638978</v>
      </c>
      <c r="X52" s="4">
        <f t="shared" si="7"/>
        <v>-0.33698259562777871</v>
      </c>
      <c r="Y52" s="3">
        <v>153355.57764106497</v>
      </c>
      <c r="Z52" s="17">
        <v>2</v>
      </c>
      <c r="AA52" s="17"/>
      <c r="AB52" s="17"/>
      <c r="AC52" s="3"/>
      <c r="AD52" s="7">
        <v>2</v>
      </c>
      <c r="AE52" s="30"/>
      <c r="AF52" s="30"/>
      <c r="AG52" s="30"/>
      <c r="AI52" s="3">
        <v>9</v>
      </c>
      <c r="AJ52" s="3">
        <v>9</v>
      </c>
      <c r="AK52" s="3">
        <v>-0.20133465846389775</v>
      </c>
      <c r="AL52" s="4">
        <f t="shared" si="8"/>
        <v>-2.2370517607099752E-2</v>
      </c>
      <c r="AM52" s="3">
        <v>153355.57764106497</v>
      </c>
      <c r="AN52" s="17">
        <v>2</v>
      </c>
      <c r="AO52" s="17"/>
      <c r="AP52" s="17"/>
      <c r="AQ52" s="3"/>
      <c r="AR52" s="7">
        <v>3</v>
      </c>
      <c r="AS52" s="30"/>
      <c r="AT52" s="30"/>
      <c r="AU52" s="30"/>
      <c r="AW52" s="17">
        <v>7</v>
      </c>
      <c r="AX52" s="17">
        <v>7</v>
      </c>
      <c r="AY52" s="17">
        <v>-2.2013346584638978</v>
      </c>
      <c r="AZ52" s="4">
        <v>-0.31447637978055681</v>
      </c>
      <c r="BA52" s="3">
        <v>153355.57764106497</v>
      </c>
      <c r="BB52" s="17">
        <f t="shared" si="9"/>
        <v>2</v>
      </c>
      <c r="BC52" s="17"/>
      <c r="BD52" s="17"/>
      <c r="BE52" s="3"/>
      <c r="BF52" s="7">
        <v>2.3333333333333335</v>
      </c>
      <c r="BG52" s="30"/>
      <c r="BH52" s="30"/>
      <c r="BI52" s="30"/>
      <c r="BK52" s="17">
        <f t="shared" si="13"/>
        <v>30</v>
      </c>
      <c r="BL52" s="17">
        <f t="shared" si="14"/>
        <v>26.7</v>
      </c>
      <c r="BM52" s="17">
        <f t="shared" si="15"/>
        <v>-6.4392994892567055</v>
      </c>
      <c r="BN52" s="4">
        <f t="shared" si="10"/>
        <v>-0.24117226551523241</v>
      </c>
      <c r="BO52" s="3">
        <f t="shared" si="16"/>
        <v>149870.22360376804</v>
      </c>
      <c r="BP52" s="7">
        <f t="shared" si="17"/>
        <v>2</v>
      </c>
      <c r="BQ52" s="3"/>
      <c r="BR52" s="3"/>
      <c r="BS52" s="7"/>
      <c r="BT52" s="7">
        <f t="shared" si="11"/>
        <v>2.3333333333333335</v>
      </c>
      <c r="BU52" s="30"/>
      <c r="BV52" s="30"/>
      <c r="BW52" s="30"/>
      <c r="BY52" s="5" t="s">
        <v>90</v>
      </c>
      <c r="BZ52" s="5" t="s">
        <v>90</v>
      </c>
      <c r="CA52" s="5" t="s">
        <v>90</v>
      </c>
      <c r="CC52" s="21"/>
      <c r="CE52">
        <v>0</v>
      </c>
      <c r="CI52" s="5" t="s">
        <v>91</v>
      </c>
      <c r="CK52" t="s">
        <v>91</v>
      </c>
      <c r="CM52" s="5" t="s">
        <v>157</v>
      </c>
      <c r="CO52" t="s">
        <v>91</v>
      </c>
    </row>
    <row r="53" spans="1:93" x14ac:dyDescent="0.35">
      <c r="A53" s="3" t="s">
        <v>61</v>
      </c>
      <c r="B53" s="3" t="s">
        <v>142</v>
      </c>
      <c r="C53" s="3" t="s">
        <v>84</v>
      </c>
      <c r="D53" s="26" t="s">
        <v>107</v>
      </c>
      <c r="E53" s="3" t="s">
        <v>2</v>
      </c>
      <c r="F53" s="5"/>
      <c r="G53" s="14">
        <v>1</v>
      </c>
      <c r="H53" s="7">
        <v>0</v>
      </c>
      <c r="I53" s="3">
        <v>0</v>
      </c>
      <c r="J53" s="4">
        <f t="shared" si="12"/>
        <v>0</v>
      </c>
      <c r="K53" s="3">
        <v>121584.75193965515</v>
      </c>
      <c r="L53" s="17">
        <v>0</v>
      </c>
      <c r="M53" s="4"/>
      <c r="N53" s="4">
        <v>0</v>
      </c>
      <c r="O53" s="6" t="s">
        <v>123</v>
      </c>
      <c r="P53" s="7">
        <v>0</v>
      </c>
      <c r="Q53" s="31">
        <v>0</v>
      </c>
      <c r="R53" s="31">
        <v>0</v>
      </c>
      <c r="S53" s="31">
        <f t="shared" si="6"/>
        <v>0</v>
      </c>
      <c r="T53" s="15"/>
      <c r="U53" s="7">
        <v>1</v>
      </c>
      <c r="V53" s="7">
        <v>0</v>
      </c>
      <c r="W53" s="3">
        <v>0</v>
      </c>
      <c r="X53" s="4">
        <f t="shared" si="7"/>
        <v>0</v>
      </c>
      <c r="Y53" s="3">
        <v>133743.22713362068</v>
      </c>
      <c r="Z53" s="17">
        <v>0</v>
      </c>
      <c r="AA53" s="17"/>
      <c r="AB53" s="17"/>
      <c r="AC53" s="3"/>
      <c r="AD53" s="7">
        <v>0.15873015873015872</v>
      </c>
      <c r="AE53" s="30"/>
      <c r="AF53" s="30"/>
      <c r="AG53" s="30"/>
      <c r="AI53" s="3">
        <v>1</v>
      </c>
      <c r="AJ53" s="3">
        <v>1</v>
      </c>
      <c r="AK53" s="3">
        <v>1</v>
      </c>
      <c r="AL53" s="4">
        <f t="shared" si="8"/>
        <v>1</v>
      </c>
      <c r="AM53" s="3">
        <v>133743.22713362068</v>
      </c>
      <c r="AN53" s="17">
        <v>0</v>
      </c>
      <c r="AO53" s="17"/>
      <c r="AP53" s="17"/>
      <c r="AQ53" s="3"/>
      <c r="AR53" s="7">
        <v>0.15873015873015872</v>
      </c>
      <c r="AS53" s="30"/>
      <c r="AT53" s="30"/>
      <c r="AU53" s="30"/>
      <c r="AW53" s="17">
        <v>2</v>
      </c>
      <c r="AX53" s="17">
        <v>2</v>
      </c>
      <c r="AY53" s="17">
        <v>2</v>
      </c>
      <c r="AZ53" s="4">
        <v>1</v>
      </c>
      <c r="BA53" s="3">
        <v>133743.22713362068</v>
      </c>
      <c r="BB53" s="17">
        <f t="shared" si="9"/>
        <v>0</v>
      </c>
      <c r="BC53" s="17"/>
      <c r="BD53" s="17"/>
      <c r="BE53" s="3"/>
      <c r="BF53" s="7">
        <v>0.31746031746031744</v>
      </c>
      <c r="BG53" s="30"/>
      <c r="BH53" s="30"/>
      <c r="BI53" s="30"/>
      <c r="BK53" s="17">
        <f t="shared" si="13"/>
        <v>5</v>
      </c>
      <c r="BL53" s="17">
        <f t="shared" si="14"/>
        <v>3</v>
      </c>
      <c r="BM53" s="17">
        <f t="shared" si="15"/>
        <v>3</v>
      </c>
      <c r="BN53" s="4">
        <f t="shared" si="10"/>
        <v>1</v>
      </c>
      <c r="BO53" s="3">
        <f t="shared" si="16"/>
        <v>130703.60833512928</v>
      </c>
      <c r="BP53" s="7">
        <f t="shared" si="17"/>
        <v>0</v>
      </c>
      <c r="BQ53" s="3"/>
      <c r="BR53" s="3"/>
      <c r="BS53" s="7"/>
      <c r="BT53" s="7">
        <f t="shared" si="11"/>
        <v>0.15873015873015872</v>
      </c>
      <c r="BU53" s="30"/>
      <c r="BV53" s="30"/>
      <c r="BW53" s="30"/>
      <c r="BY53" s="5" t="s">
        <v>90</v>
      </c>
      <c r="BZ53" s="5" t="s">
        <v>90</v>
      </c>
      <c r="CA53" s="5" t="s">
        <v>90</v>
      </c>
      <c r="CC53" s="21"/>
      <c r="CE53">
        <v>0</v>
      </c>
      <c r="CI53" s="5" t="s">
        <v>91</v>
      </c>
      <c r="CK53" t="s">
        <v>91</v>
      </c>
      <c r="CM53" s="5" t="s">
        <v>157</v>
      </c>
      <c r="CO53" t="s">
        <v>91</v>
      </c>
    </row>
    <row r="54" spans="1:93" x14ac:dyDescent="0.35">
      <c r="A54" s="3" t="s">
        <v>62</v>
      </c>
      <c r="B54" s="3" t="s">
        <v>146</v>
      </c>
      <c r="C54" s="3" t="s">
        <v>84</v>
      </c>
      <c r="D54" s="2" t="s">
        <v>107</v>
      </c>
      <c r="E54" s="3" t="s">
        <v>70</v>
      </c>
      <c r="F54" s="5"/>
      <c r="G54" s="14">
        <v>0</v>
      </c>
      <c r="H54" s="7">
        <v>0</v>
      </c>
      <c r="I54" s="3">
        <v>0</v>
      </c>
      <c r="J54" s="4">
        <f t="shared" si="12"/>
        <v>0</v>
      </c>
      <c r="K54" s="3">
        <v>0</v>
      </c>
      <c r="L54" s="17">
        <v>0</v>
      </c>
      <c r="M54" s="4"/>
      <c r="N54" s="4">
        <v>0</v>
      </c>
      <c r="O54" s="6" t="s">
        <v>123</v>
      </c>
      <c r="P54" s="7">
        <v>0</v>
      </c>
      <c r="Q54" s="31">
        <v>0</v>
      </c>
      <c r="R54" s="31">
        <v>0</v>
      </c>
      <c r="S54" s="31">
        <f t="shared" si="6"/>
        <v>0</v>
      </c>
      <c r="T54" s="15"/>
      <c r="U54" s="7">
        <v>0</v>
      </c>
      <c r="V54" s="7">
        <v>0</v>
      </c>
      <c r="W54" s="3">
        <v>0</v>
      </c>
      <c r="X54" s="4">
        <f t="shared" si="7"/>
        <v>0</v>
      </c>
      <c r="Y54" s="3">
        <v>0</v>
      </c>
      <c r="Z54" s="17">
        <v>0</v>
      </c>
      <c r="AA54" s="17"/>
      <c r="AB54" s="17"/>
      <c r="AC54" s="3"/>
      <c r="AD54" s="7">
        <v>0</v>
      </c>
      <c r="AE54" s="30"/>
      <c r="AF54" s="30"/>
      <c r="AG54" s="30"/>
      <c r="AI54" s="3">
        <v>0</v>
      </c>
      <c r="AJ54" s="3">
        <v>0</v>
      </c>
      <c r="AK54" s="3">
        <v>0</v>
      </c>
      <c r="AL54" s="4">
        <f t="shared" si="8"/>
        <v>0</v>
      </c>
      <c r="AM54" s="3">
        <v>0</v>
      </c>
      <c r="AN54" s="17">
        <v>0</v>
      </c>
      <c r="AO54" s="17"/>
      <c r="AP54" s="17"/>
      <c r="AQ54" s="3"/>
      <c r="AR54" s="7">
        <v>0</v>
      </c>
      <c r="AS54" s="30"/>
      <c r="AT54" s="30"/>
      <c r="AU54" s="30"/>
      <c r="AW54" s="17">
        <v>0</v>
      </c>
      <c r="AX54" s="17">
        <v>0</v>
      </c>
      <c r="AY54" s="17">
        <v>0</v>
      </c>
      <c r="AZ54" s="4">
        <v>0</v>
      </c>
      <c r="BA54" s="3">
        <v>0</v>
      </c>
      <c r="BB54" s="17">
        <f t="shared" si="9"/>
        <v>0</v>
      </c>
      <c r="BC54" s="17"/>
      <c r="BD54" s="17"/>
      <c r="BE54" s="3"/>
      <c r="BF54" s="7">
        <v>0</v>
      </c>
      <c r="BG54" s="30"/>
      <c r="BH54" s="30"/>
      <c r="BI54" s="30"/>
      <c r="BK54" s="17">
        <f t="shared" si="13"/>
        <v>0</v>
      </c>
      <c r="BL54" s="17">
        <f t="shared" si="14"/>
        <v>0</v>
      </c>
      <c r="BM54" s="17">
        <f t="shared" si="15"/>
        <v>0</v>
      </c>
      <c r="BN54" s="4">
        <f t="shared" si="10"/>
        <v>0</v>
      </c>
      <c r="BO54" s="3">
        <f t="shared" si="16"/>
        <v>0</v>
      </c>
      <c r="BP54" s="7">
        <f t="shared" si="17"/>
        <v>0</v>
      </c>
      <c r="BQ54" s="3"/>
      <c r="BR54" s="3"/>
      <c r="BS54" s="7"/>
      <c r="BT54" s="7">
        <f t="shared" si="11"/>
        <v>0</v>
      </c>
      <c r="BU54" s="30"/>
      <c r="BV54" s="30"/>
      <c r="BW54" s="30"/>
      <c r="BY54" s="5" t="s">
        <v>90</v>
      </c>
      <c r="BZ54" s="5" t="s">
        <v>90</v>
      </c>
      <c r="CA54" s="5" t="s">
        <v>90</v>
      </c>
      <c r="CC54" s="21"/>
      <c r="CE54">
        <v>0</v>
      </c>
      <c r="CI54" s="5" t="s">
        <v>91</v>
      </c>
      <c r="CK54" t="s">
        <v>91</v>
      </c>
      <c r="CM54" s="5" t="s">
        <v>157</v>
      </c>
      <c r="CO54" t="s">
        <v>91</v>
      </c>
    </row>
    <row r="55" spans="1:93" x14ac:dyDescent="0.35">
      <c r="A55" s="3" t="s">
        <v>65</v>
      </c>
      <c r="B55" s="3" t="s">
        <v>142</v>
      </c>
      <c r="C55" s="3" t="s">
        <v>127</v>
      </c>
      <c r="D55" s="25" t="s">
        <v>108</v>
      </c>
      <c r="E55" s="3" t="s">
        <v>85</v>
      </c>
      <c r="F55" s="5"/>
      <c r="G55" s="14">
        <v>60.514180000000003</v>
      </c>
      <c r="H55" s="7">
        <f>9+15+11</f>
        <v>35</v>
      </c>
      <c r="I55" s="3">
        <v>-41.610895725517878</v>
      </c>
      <c r="J55" s="4">
        <f t="shared" si="12"/>
        <v>-1.1888827350147966</v>
      </c>
      <c r="K55" s="3">
        <v>50745.724005939614</v>
      </c>
      <c r="L55" s="17">
        <v>21.333333333333332</v>
      </c>
      <c r="M55" s="17">
        <v>573722.5</v>
      </c>
      <c r="N55" s="4">
        <v>0.25</v>
      </c>
      <c r="O55" s="6">
        <v>2.3809523809523808E-2</v>
      </c>
      <c r="P55" s="7">
        <v>0.21039603960396042</v>
      </c>
      <c r="Q55" s="31">
        <v>1</v>
      </c>
      <c r="R55" s="31">
        <v>3</v>
      </c>
      <c r="S55" s="31">
        <f t="shared" si="6"/>
        <v>4</v>
      </c>
      <c r="T55" s="15"/>
      <c r="U55" s="7">
        <v>130.62295999999998</v>
      </c>
      <c r="V55" s="7">
        <f>44*3</f>
        <v>132</v>
      </c>
      <c r="W55" s="3">
        <v>94.897970299818496</v>
      </c>
      <c r="X55" s="4">
        <f t="shared" si="7"/>
        <v>0.71892401742286738</v>
      </c>
      <c r="Y55" s="3">
        <v>55820.296406533576</v>
      </c>
      <c r="Z55" s="17">
        <v>21.333333333333332</v>
      </c>
      <c r="AA55" s="17"/>
      <c r="AB55" s="17"/>
      <c r="AC55" s="3"/>
      <c r="AD55" s="7">
        <v>2.1554943894389438</v>
      </c>
      <c r="AE55" s="30"/>
      <c r="AF55" s="30"/>
      <c r="AG55" s="30"/>
      <c r="AI55" s="3">
        <v>149.51603</v>
      </c>
      <c r="AJ55" s="3">
        <v>150</v>
      </c>
      <c r="AK55" s="3">
        <v>113.79104029981852</v>
      </c>
      <c r="AL55" s="4">
        <f t="shared" si="8"/>
        <v>0.75860693533212342</v>
      </c>
      <c r="AM55" s="3">
        <v>55820.296406533576</v>
      </c>
      <c r="AN55" s="17">
        <v>21.333333333333332</v>
      </c>
      <c r="AO55" s="17"/>
      <c r="AP55" s="17"/>
      <c r="AQ55" s="3"/>
      <c r="AR55" s="7">
        <v>2.4672612211221123</v>
      </c>
      <c r="AS55" s="30"/>
      <c r="AT55" s="30"/>
      <c r="AU55" s="30"/>
      <c r="AW55" s="17">
        <v>193.60619</v>
      </c>
      <c r="AX55" s="17">
        <f>65*3</f>
        <v>195</v>
      </c>
      <c r="AY55" s="17">
        <v>157.88120029981852</v>
      </c>
      <c r="AZ55" s="4">
        <v>0.81547599433581397</v>
      </c>
      <c r="BA55" s="3">
        <v>55820.296406533576</v>
      </c>
      <c r="BB55" s="17">
        <f t="shared" si="9"/>
        <v>21.333333333333332</v>
      </c>
      <c r="BC55" s="17"/>
      <c r="BD55" s="17"/>
      <c r="BE55" s="3"/>
      <c r="BF55" s="7">
        <v>3.1948216171617165</v>
      </c>
      <c r="BG55" s="30"/>
      <c r="BH55" s="30"/>
      <c r="BI55" s="30"/>
      <c r="BK55" s="17">
        <f t="shared" si="13"/>
        <v>534.25936000000002</v>
      </c>
      <c r="BL55" s="17">
        <f t="shared" si="14"/>
        <v>512</v>
      </c>
      <c r="BM55" s="17">
        <f t="shared" si="15"/>
        <v>324.95931517393768</v>
      </c>
      <c r="BN55" s="4">
        <f t="shared" si="10"/>
        <v>0.63468616244909704</v>
      </c>
      <c r="BO55" s="3">
        <f t="shared" si="16"/>
        <v>54551.65330638508</v>
      </c>
      <c r="BP55" s="7">
        <f t="shared" si="17"/>
        <v>21.333333333333332</v>
      </c>
      <c r="BQ55" s="3"/>
      <c r="BR55" s="3"/>
      <c r="BS55" s="7"/>
      <c r="BT55" s="7">
        <f t="shared" si="11"/>
        <v>2.0069933168316831</v>
      </c>
      <c r="BU55" s="30"/>
      <c r="BV55" s="30"/>
      <c r="BW55" s="30"/>
      <c r="BY55" s="5" t="s">
        <v>90</v>
      </c>
      <c r="BZ55" s="5" t="s">
        <v>90</v>
      </c>
      <c r="CA55" s="5" t="s">
        <v>90</v>
      </c>
      <c r="CC55" s="21"/>
      <c r="CE55">
        <v>1.75</v>
      </c>
      <c r="CI55" s="5" t="s">
        <v>91</v>
      </c>
      <c r="CK55" t="s">
        <v>91</v>
      </c>
      <c r="CM55" s="5" t="s">
        <v>105</v>
      </c>
      <c r="CO55" t="s">
        <v>90</v>
      </c>
    </row>
    <row r="56" spans="1:93" x14ac:dyDescent="0.35">
      <c r="A56" s="3" t="s">
        <v>122</v>
      </c>
      <c r="B56" s="3" t="s">
        <v>142</v>
      </c>
      <c r="C56" s="3" t="s">
        <v>127</v>
      </c>
      <c r="D56" s="25" t="s">
        <v>108</v>
      </c>
      <c r="E56" s="3" t="s">
        <v>85</v>
      </c>
      <c r="F56" s="5"/>
      <c r="G56" s="14"/>
      <c r="H56" s="7">
        <v>0.7581</v>
      </c>
      <c r="I56" s="3">
        <v>-0.64626796436039635</v>
      </c>
      <c r="J56" s="4"/>
      <c r="K56" s="3"/>
      <c r="L56" s="17"/>
      <c r="M56" s="17">
        <v>75810</v>
      </c>
      <c r="N56" s="4">
        <v>1</v>
      </c>
      <c r="O56" s="6" t="s">
        <v>123</v>
      </c>
      <c r="P56" s="7"/>
      <c r="Q56" s="31">
        <v>0</v>
      </c>
      <c r="R56" s="31">
        <v>0</v>
      </c>
      <c r="S56" s="31">
        <f t="shared" si="6"/>
        <v>0</v>
      </c>
      <c r="T56" s="15"/>
      <c r="U56" s="7"/>
      <c r="V56" s="7">
        <v>0</v>
      </c>
      <c r="W56" s="3"/>
      <c r="X56" s="4"/>
      <c r="Y56" s="3"/>
      <c r="Z56" s="17"/>
      <c r="AA56" s="17"/>
      <c r="AB56" s="17"/>
      <c r="AC56" s="3"/>
      <c r="AD56" s="7"/>
      <c r="AE56" s="30"/>
      <c r="AF56" s="30"/>
      <c r="AG56" s="30"/>
      <c r="AI56" s="3"/>
      <c r="AJ56" s="3">
        <v>0</v>
      </c>
      <c r="AK56" s="3"/>
      <c r="AL56" s="4">
        <f t="shared" si="8"/>
        <v>0</v>
      </c>
      <c r="AM56" s="3"/>
      <c r="AN56" s="17"/>
      <c r="AO56" s="17"/>
      <c r="AP56" s="17"/>
      <c r="AQ56" s="3"/>
      <c r="AR56" s="7"/>
      <c r="AS56" s="30"/>
      <c r="AT56" s="30"/>
      <c r="AU56" s="30"/>
      <c r="AW56" s="17"/>
      <c r="AX56" s="17">
        <v>0</v>
      </c>
      <c r="AY56" s="17"/>
      <c r="AZ56" s="4"/>
      <c r="BA56" s="3"/>
      <c r="BB56" s="17"/>
      <c r="BC56" s="17"/>
      <c r="BD56" s="17"/>
      <c r="BE56" s="3"/>
      <c r="BF56" s="7"/>
      <c r="BG56" s="30"/>
      <c r="BH56" s="30"/>
      <c r="BI56" s="30"/>
      <c r="BK56" s="17"/>
      <c r="BL56" s="17"/>
      <c r="BM56" s="17"/>
      <c r="BN56" s="4"/>
      <c r="BO56" s="3"/>
      <c r="BP56" s="7"/>
      <c r="BQ56" s="3"/>
      <c r="BR56" s="3"/>
      <c r="BS56" s="7"/>
      <c r="BT56" s="7"/>
      <c r="BU56" s="30"/>
      <c r="BV56" s="30"/>
      <c r="BW56" s="30"/>
      <c r="BY56" s="5"/>
      <c r="BZ56" s="5"/>
      <c r="CA56" s="5"/>
      <c r="CC56" s="21"/>
      <c r="CE56">
        <v>0</v>
      </c>
      <c r="CI56" s="5"/>
      <c r="CM56" s="5" t="s">
        <v>157</v>
      </c>
    </row>
    <row r="57" spans="1:93" x14ac:dyDescent="0.35">
      <c r="A57" s="3" t="s">
        <v>66</v>
      </c>
      <c r="B57" s="3" t="s">
        <v>143</v>
      </c>
      <c r="C57" s="3" t="s">
        <v>143</v>
      </c>
      <c r="D57" s="2" t="s">
        <v>107</v>
      </c>
      <c r="E57" s="3" t="s">
        <v>66</v>
      </c>
      <c r="F57" s="5"/>
      <c r="G57" s="14">
        <v>36.664500000000004</v>
      </c>
      <c r="H57" s="7">
        <v>3.7510600000000003</v>
      </c>
      <c r="I57" s="3">
        <v>-0.90896999999999994</v>
      </c>
      <c r="J57" s="4">
        <f t="shared" ref="J57:J62" si="18">IFERROR(I57/H57,0)</f>
        <v>-0.2423235032230889</v>
      </c>
      <c r="K57" s="3">
        <v>101000</v>
      </c>
      <c r="L57" s="17">
        <v>0.79999999999999993</v>
      </c>
      <c r="M57" s="4"/>
      <c r="N57" s="4">
        <v>0</v>
      </c>
      <c r="O57" s="6" t="s">
        <v>123</v>
      </c>
      <c r="P57" s="7">
        <v>0</v>
      </c>
      <c r="Q57" s="31">
        <v>0</v>
      </c>
      <c r="R57" s="31">
        <v>0</v>
      </c>
      <c r="S57" s="31">
        <f t="shared" si="6"/>
        <v>0</v>
      </c>
      <c r="T57" s="15"/>
      <c r="U57" s="7">
        <v>24</v>
      </c>
      <c r="V57" s="7">
        <v>6.5</v>
      </c>
      <c r="W57" s="3">
        <v>3.8336000000000001</v>
      </c>
      <c r="X57" s="4">
        <f t="shared" si="7"/>
        <v>0.58978461538461535</v>
      </c>
      <c r="Y57" s="3">
        <v>111100.00000000001</v>
      </c>
      <c r="Z57" s="17">
        <v>0.79999999999999993</v>
      </c>
      <c r="AA57" s="17"/>
      <c r="AB57" s="17"/>
      <c r="AC57" s="3"/>
      <c r="AD57" s="7">
        <v>0</v>
      </c>
      <c r="AE57" s="30"/>
      <c r="AF57" s="30"/>
      <c r="AG57" s="30"/>
      <c r="AI57" s="3">
        <v>40</v>
      </c>
      <c r="AJ57" s="3">
        <v>40</v>
      </c>
      <c r="AK57" s="3">
        <v>37.333599999999997</v>
      </c>
      <c r="AL57" s="4">
        <f t="shared" si="8"/>
        <v>0.93333999999999995</v>
      </c>
      <c r="AM57" s="3">
        <v>111100.00000000001</v>
      </c>
      <c r="AN57" s="17">
        <v>0.79999999999999993</v>
      </c>
      <c r="AO57" s="17"/>
      <c r="AP57" s="17"/>
      <c r="AQ57" s="3"/>
      <c r="AR57" s="7">
        <v>0</v>
      </c>
      <c r="AS57" s="30"/>
      <c r="AT57" s="30"/>
      <c r="AU57" s="30"/>
      <c r="AW57" s="17">
        <v>50</v>
      </c>
      <c r="AX57" s="17">
        <v>50</v>
      </c>
      <c r="AY57" s="17">
        <v>47.333599999999997</v>
      </c>
      <c r="AZ57" s="4">
        <v>0.94667199999999996</v>
      </c>
      <c r="BA57" s="3">
        <v>111100.00000000001</v>
      </c>
      <c r="BB57" s="17">
        <f t="shared" si="9"/>
        <v>0.79999999999999993</v>
      </c>
      <c r="BC57" s="17"/>
      <c r="BD57" s="17"/>
      <c r="BE57" s="3"/>
      <c r="BF57" s="7">
        <v>0</v>
      </c>
      <c r="BG57" s="30"/>
      <c r="BH57" s="30"/>
      <c r="BI57" s="30"/>
      <c r="BK57" s="17">
        <f t="shared" ref="BK57:BM61" si="19">U57+AI57+AW57+G57</f>
        <v>150.6645</v>
      </c>
      <c r="BL57" s="17">
        <f t="shared" si="19"/>
        <v>100.25106</v>
      </c>
      <c r="BM57" s="17">
        <f t="shared" si="19"/>
        <v>87.591830000000002</v>
      </c>
      <c r="BN57" s="4">
        <f t="shared" si="10"/>
        <v>0.87372472670114421</v>
      </c>
      <c r="BO57" s="3">
        <f t="shared" si="16"/>
        <v>108575</v>
      </c>
      <c r="BP57" s="7">
        <f t="shared" si="17"/>
        <v>0.79999999999999993</v>
      </c>
      <c r="BQ57" s="3"/>
      <c r="BR57" s="3"/>
      <c r="BS57" s="7"/>
      <c r="BT57" s="7">
        <f t="shared" si="11"/>
        <v>0</v>
      </c>
      <c r="BU57" s="30"/>
      <c r="BV57" s="30"/>
      <c r="BW57" s="30"/>
      <c r="BY57" s="5" t="s">
        <v>90</v>
      </c>
      <c r="BZ57" s="5" t="s">
        <v>90</v>
      </c>
      <c r="CA57" s="5" t="s">
        <v>90</v>
      </c>
      <c r="CC57" s="21"/>
      <c r="CE57">
        <v>0.83</v>
      </c>
      <c r="CG57">
        <f>175278/100000</f>
        <v>1.75278</v>
      </c>
      <c r="CI57" s="5" t="s">
        <v>91</v>
      </c>
      <c r="CK57" t="s">
        <v>91</v>
      </c>
      <c r="CM57" s="5" t="s">
        <v>105</v>
      </c>
      <c r="CO57" t="s">
        <v>91</v>
      </c>
    </row>
    <row r="58" spans="1:93" x14ac:dyDescent="0.35">
      <c r="A58" s="3" t="s">
        <v>67</v>
      </c>
      <c r="B58" s="3" t="s">
        <v>147</v>
      </c>
      <c r="C58" s="3" t="s">
        <v>147</v>
      </c>
      <c r="D58" s="2" t="s">
        <v>107</v>
      </c>
      <c r="E58" s="3" t="s">
        <v>67</v>
      </c>
      <c r="F58" s="5"/>
      <c r="G58" s="14">
        <v>17.4129</v>
      </c>
      <c r="H58" s="7">
        <v>0</v>
      </c>
      <c r="I58" s="3">
        <v>-4.1586272558005444</v>
      </c>
      <c r="J58" s="4">
        <f t="shared" si="18"/>
        <v>0</v>
      </c>
      <c r="K58" s="3">
        <v>448176.65956779307</v>
      </c>
      <c r="L58" s="17">
        <v>0.33333333333333331</v>
      </c>
      <c r="M58" s="4"/>
      <c r="N58" s="4">
        <v>0</v>
      </c>
      <c r="O58" s="6"/>
      <c r="P58" s="7">
        <v>0</v>
      </c>
      <c r="Q58" s="31">
        <v>0</v>
      </c>
      <c r="R58" s="31">
        <v>0</v>
      </c>
      <c r="S58" s="31">
        <f t="shared" si="6"/>
        <v>0</v>
      </c>
      <c r="T58" s="15"/>
      <c r="U58" s="7">
        <v>64</v>
      </c>
      <c r="V58" s="7">
        <v>30</v>
      </c>
      <c r="W58" s="3">
        <v>25.070056744754275</v>
      </c>
      <c r="X58" s="4">
        <f t="shared" si="7"/>
        <v>0.83566855815847585</v>
      </c>
      <c r="Y58" s="3">
        <v>492994.3255245724</v>
      </c>
      <c r="Z58" s="17">
        <v>0.33333333333333331</v>
      </c>
      <c r="AA58" s="17"/>
      <c r="AB58" s="17"/>
      <c r="AC58" s="3"/>
      <c r="AD58" s="7">
        <v>0</v>
      </c>
      <c r="AE58" s="30"/>
      <c r="AF58" s="30"/>
      <c r="AG58" s="30"/>
      <c r="AI58" s="3">
        <v>118</v>
      </c>
      <c r="AJ58" s="3">
        <v>118</v>
      </c>
      <c r="AK58" s="3">
        <v>113.07005674475428</v>
      </c>
      <c r="AL58" s="4">
        <f t="shared" si="8"/>
        <v>0.95822081987079899</v>
      </c>
      <c r="AM58" s="3">
        <v>492994.3255245724</v>
      </c>
      <c r="AN58" s="17">
        <v>0.33333333333333331</v>
      </c>
      <c r="AO58" s="17"/>
      <c r="AP58" s="17"/>
      <c r="AQ58" s="3"/>
      <c r="AR58" s="7">
        <v>0</v>
      </c>
      <c r="AS58" s="30"/>
      <c r="AT58" s="30"/>
      <c r="AU58" s="30"/>
      <c r="AW58" s="17">
        <v>150</v>
      </c>
      <c r="AX58" s="17">
        <v>150</v>
      </c>
      <c r="AY58" s="17">
        <v>145.07005674475428</v>
      </c>
      <c r="AZ58" s="4">
        <v>0.96713371163169526</v>
      </c>
      <c r="BA58" s="3">
        <v>492994.3255245724</v>
      </c>
      <c r="BB58" s="17">
        <f t="shared" si="9"/>
        <v>0.33333333333333331</v>
      </c>
      <c r="BC58" s="17"/>
      <c r="BD58" s="17"/>
      <c r="BE58" s="3"/>
      <c r="BF58" s="7">
        <v>0</v>
      </c>
      <c r="BG58" s="30"/>
      <c r="BH58" s="30"/>
      <c r="BI58" s="30"/>
      <c r="BK58" s="17">
        <f t="shared" si="19"/>
        <v>349.41289999999998</v>
      </c>
      <c r="BL58" s="17">
        <f t="shared" si="19"/>
        <v>298</v>
      </c>
      <c r="BM58" s="17">
        <f t="shared" si="19"/>
        <v>279.05154297846229</v>
      </c>
      <c r="BN58" s="4">
        <f t="shared" si="10"/>
        <v>0.93641457375322923</v>
      </c>
      <c r="BO58" s="3">
        <f t="shared" si="16"/>
        <v>481789.90903537755</v>
      </c>
      <c r="BP58" s="7">
        <f t="shared" si="17"/>
        <v>0.33333333333333331</v>
      </c>
      <c r="BQ58" s="3"/>
      <c r="BR58" s="3"/>
      <c r="BS58" s="7"/>
      <c r="BT58" s="7">
        <f t="shared" si="11"/>
        <v>0</v>
      </c>
      <c r="BU58" s="30"/>
      <c r="BV58" s="30"/>
      <c r="BW58" s="30"/>
      <c r="BY58" s="5" t="s">
        <v>90</v>
      </c>
      <c r="BZ58" s="5" t="s">
        <v>90</v>
      </c>
      <c r="CA58" s="5" t="s">
        <v>90</v>
      </c>
      <c r="CC58" s="21"/>
      <c r="CE58">
        <v>0</v>
      </c>
      <c r="CI58" s="5" t="s">
        <v>91</v>
      </c>
      <c r="CK58" t="s">
        <v>91</v>
      </c>
      <c r="CM58" s="5" t="s">
        <v>105</v>
      </c>
      <c r="CO58" t="s">
        <v>91</v>
      </c>
    </row>
    <row r="59" spans="1:93" x14ac:dyDescent="0.35">
      <c r="A59" s="16" t="s">
        <v>86</v>
      </c>
      <c r="B59" s="3" t="s">
        <v>142</v>
      </c>
      <c r="C59" s="16" t="s">
        <v>83</v>
      </c>
      <c r="D59" s="25" t="s">
        <v>108</v>
      </c>
      <c r="E59" s="16" t="s">
        <v>2</v>
      </c>
      <c r="G59" s="3">
        <v>0</v>
      </c>
      <c r="H59" s="7">
        <v>4</v>
      </c>
      <c r="I59" s="3">
        <v>-5.3226158641469432</v>
      </c>
      <c r="J59" s="4">
        <f t="shared" si="18"/>
        <v>-1.3306539660367358</v>
      </c>
      <c r="K59" s="3">
        <v>90000</v>
      </c>
      <c r="L59" s="17">
        <v>1.1666666666666667</v>
      </c>
      <c r="M59" s="4"/>
      <c r="N59" s="4">
        <v>0</v>
      </c>
      <c r="O59" s="6">
        <v>0</v>
      </c>
      <c r="P59" s="7">
        <v>0.38095238095238093</v>
      </c>
      <c r="Q59" s="31">
        <v>0</v>
      </c>
      <c r="R59" s="31">
        <v>0</v>
      </c>
      <c r="S59" s="31">
        <f t="shared" si="6"/>
        <v>0</v>
      </c>
      <c r="T59" s="15"/>
      <c r="U59" s="3"/>
      <c r="V59" s="7">
        <v>21.1</v>
      </c>
      <c r="W59" s="3">
        <v>23</v>
      </c>
      <c r="X59" s="4">
        <f t="shared" si="7"/>
        <v>1.0900473933649288</v>
      </c>
      <c r="Y59" s="3">
        <v>99000.000000000015</v>
      </c>
      <c r="Z59" s="17">
        <v>0</v>
      </c>
      <c r="AA59" s="17"/>
      <c r="AB59" s="17"/>
      <c r="AC59" s="3"/>
      <c r="AD59" s="7">
        <v>0</v>
      </c>
      <c r="AE59" s="30"/>
      <c r="AF59" s="30"/>
      <c r="AG59" s="30"/>
      <c r="AI59" s="3"/>
      <c r="AJ59" s="3">
        <v>0</v>
      </c>
      <c r="AK59" s="3"/>
      <c r="AL59" s="4">
        <f t="shared" si="8"/>
        <v>0</v>
      </c>
      <c r="AM59" s="3"/>
      <c r="AN59" s="17">
        <v>0</v>
      </c>
      <c r="AO59" s="17"/>
      <c r="AP59" s="17"/>
      <c r="AQ59" s="3"/>
      <c r="AR59" s="7">
        <v>0</v>
      </c>
      <c r="AS59" s="30"/>
      <c r="AT59" s="30"/>
      <c r="AU59" s="30"/>
      <c r="AW59" s="8"/>
      <c r="AX59" s="17">
        <v>0</v>
      </c>
      <c r="AY59" s="17">
        <v>0</v>
      </c>
      <c r="AZ59" s="4">
        <v>0</v>
      </c>
      <c r="BA59" s="3">
        <v>99000.000000000015</v>
      </c>
      <c r="BB59" s="17">
        <f t="shared" si="9"/>
        <v>0</v>
      </c>
      <c r="BC59" s="17"/>
      <c r="BD59" s="17"/>
      <c r="BE59" s="8"/>
      <c r="BF59" s="7">
        <v>0</v>
      </c>
      <c r="BG59" s="30"/>
      <c r="BH59" s="30"/>
      <c r="BI59" s="30"/>
      <c r="BK59" s="17">
        <f t="shared" si="19"/>
        <v>0</v>
      </c>
      <c r="BL59" s="17">
        <f t="shared" si="19"/>
        <v>25.1</v>
      </c>
      <c r="BM59" s="17">
        <f t="shared" si="19"/>
        <v>17.677384135853057</v>
      </c>
      <c r="BN59" s="4">
        <f t="shared" si="10"/>
        <v>0.70427825242442454</v>
      </c>
      <c r="BO59" s="3">
        <f t="shared" si="16"/>
        <v>96000</v>
      </c>
      <c r="BP59" s="7">
        <f t="shared" si="17"/>
        <v>0.29166666666666669</v>
      </c>
      <c r="BQ59" s="5"/>
      <c r="BR59" s="5"/>
      <c r="BS59" s="7"/>
      <c r="BT59" s="7">
        <f t="shared" si="11"/>
        <v>9.5238095238095233E-2</v>
      </c>
      <c r="BU59" s="30"/>
      <c r="BV59" s="30"/>
      <c r="BW59" s="30"/>
      <c r="BY59" s="5" t="s">
        <v>90</v>
      </c>
      <c r="BZ59" s="5" t="s">
        <v>90</v>
      </c>
      <c r="CA59" s="5" t="s">
        <v>90</v>
      </c>
      <c r="CC59" s="21"/>
      <c r="CE59">
        <v>2</v>
      </c>
      <c r="CI59" s="5" t="s">
        <v>91</v>
      </c>
      <c r="CK59" t="s">
        <v>91</v>
      </c>
      <c r="CM59" s="5" t="s">
        <v>105</v>
      </c>
      <c r="CO59" t="s">
        <v>91</v>
      </c>
    </row>
    <row r="60" spans="1:93" x14ac:dyDescent="0.35">
      <c r="A60" s="16" t="s">
        <v>87</v>
      </c>
      <c r="B60" s="3" t="s">
        <v>142</v>
      </c>
      <c r="C60" s="16" t="s">
        <v>83</v>
      </c>
      <c r="D60" s="25" t="s">
        <v>108</v>
      </c>
      <c r="E60" s="16" t="s">
        <v>2</v>
      </c>
      <c r="G60" s="3">
        <v>0</v>
      </c>
      <c r="H60" s="7">
        <v>5.25</v>
      </c>
      <c r="I60" s="3">
        <v>-3.0550967515638772</v>
      </c>
      <c r="J60" s="4">
        <f t="shared" si="18"/>
        <v>-0.58192319077407184</v>
      </c>
      <c r="K60" s="3">
        <v>90000</v>
      </c>
      <c r="L60" s="17">
        <v>0.56666666666666665</v>
      </c>
      <c r="M60" s="4"/>
      <c r="N60" s="4">
        <v>0</v>
      </c>
      <c r="O60" s="6">
        <v>0</v>
      </c>
      <c r="P60" s="7">
        <v>1.2500000000000002</v>
      </c>
      <c r="Q60" s="31">
        <v>0</v>
      </c>
      <c r="R60" s="31">
        <v>0</v>
      </c>
      <c r="S60" s="31">
        <f t="shared" si="6"/>
        <v>0</v>
      </c>
      <c r="T60" s="15"/>
      <c r="U60" s="3"/>
      <c r="V60" s="7">
        <v>25.956</v>
      </c>
      <c r="W60" s="3">
        <v>5.0999999999999996</v>
      </c>
      <c r="X60" s="4">
        <f t="shared" si="7"/>
        <v>0.1964863615349052</v>
      </c>
      <c r="Y60" s="3">
        <v>99000.000000000015</v>
      </c>
      <c r="Z60" s="17">
        <v>0</v>
      </c>
      <c r="AA60" s="17"/>
      <c r="AB60" s="17"/>
      <c r="AC60" s="3"/>
      <c r="AD60" s="7">
        <v>0</v>
      </c>
      <c r="AE60" s="30"/>
      <c r="AF60" s="30"/>
      <c r="AG60" s="30"/>
      <c r="AI60" s="3"/>
      <c r="AJ60" s="3">
        <v>0</v>
      </c>
      <c r="AK60" s="3"/>
      <c r="AL60" s="4">
        <f t="shared" si="8"/>
        <v>0</v>
      </c>
      <c r="AM60" s="3"/>
      <c r="AN60" s="17">
        <v>0</v>
      </c>
      <c r="AO60" s="17"/>
      <c r="AP60" s="17"/>
      <c r="AQ60" s="3"/>
      <c r="AR60" s="7">
        <v>0</v>
      </c>
      <c r="AS60" s="30"/>
      <c r="AT60" s="30"/>
      <c r="AU60" s="30"/>
      <c r="AW60" s="8"/>
      <c r="AX60" s="17">
        <v>0</v>
      </c>
      <c r="AY60" s="17">
        <v>0</v>
      </c>
      <c r="AZ60" s="4">
        <v>0</v>
      </c>
      <c r="BA60" s="3">
        <v>99000.000000000015</v>
      </c>
      <c r="BB60" s="17">
        <f t="shared" si="9"/>
        <v>0</v>
      </c>
      <c r="BC60" s="17"/>
      <c r="BD60" s="17"/>
      <c r="BE60" s="8"/>
      <c r="BF60" s="7">
        <v>0</v>
      </c>
      <c r="BG60" s="30"/>
      <c r="BH60" s="30"/>
      <c r="BI60" s="30"/>
      <c r="BK60" s="17">
        <f t="shared" si="19"/>
        <v>0</v>
      </c>
      <c r="BL60" s="17">
        <f t="shared" si="19"/>
        <v>31.206</v>
      </c>
      <c r="BM60" s="17">
        <f t="shared" si="19"/>
        <v>2.0449032484361225</v>
      </c>
      <c r="BN60" s="4">
        <f t="shared" si="10"/>
        <v>6.5529169019935996E-2</v>
      </c>
      <c r="BO60" s="3">
        <f t="shared" si="16"/>
        <v>96000</v>
      </c>
      <c r="BP60" s="7">
        <f t="shared" si="17"/>
        <v>0.14166666666666666</v>
      </c>
      <c r="BQ60" s="5"/>
      <c r="BR60" s="5"/>
      <c r="BS60" s="7"/>
      <c r="BT60" s="7">
        <f t="shared" si="11"/>
        <v>0.31250000000000006</v>
      </c>
      <c r="BU60" s="30"/>
      <c r="BV60" s="30"/>
      <c r="BW60" s="30"/>
      <c r="BY60" s="5" t="s">
        <v>90</v>
      </c>
      <c r="BZ60" s="5" t="s">
        <v>90</v>
      </c>
      <c r="CA60" s="5" t="s">
        <v>90</v>
      </c>
      <c r="CC60" s="21"/>
      <c r="CE60">
        <v>1.75</v>
      </c>
      <c r="CI60" s="5" t="s">
        <v>91</v>
      </c>
      <c r="CK60" t="s">
        <v>91</v>
      </c>
      <c r="CM60" s="5" t="s">
        <v>105</v>
      </c>
      <c r="CO60" t="s">
        <v>91</v>
      </c>
    </row>
    <row r="61" spans="1:93" x14ac:dyDescent="0.35">
      <c r="A61" s="16" t="s">
        <v>109</v>
      </c>
      <c r="B61" s="16" t="s">
        <v>109</v>
      </c>
      <c r="C61" s="16" t="s">
        <v>109</v>
      </c>
      <c r="D61" s="2" t="s">
        <v>107</v>
      </c>
      <c r="E61" s="16" t="s">
        <v>109</v>
      </c>
      <c r="G61" s="14">
        <v>217</v>
      </c>
      <c r="H61" s="7">
        <v>0</v>
      </c>
      <c r="I61" s="3">
        <v>0</v>
      </c>
      <c r="J61" s="4">
        <f t="shared" si="18"/>
        <v>0</v>
      </c>
      <c r="K61" s="3">
        <v>0</v>
      </c>
      <c r="L61" s="17">
        <v>0</v>
      </c>
      <c r="M61" s="4"/>
      <c r="N61" s="4">
        <v>0</v>
      </c>
      <c r="O61" s="6"/>
      <c r="P61" s="8"/>
      <c r="Q61" s="31">
        <v>0</v>
      </c>
      <c r="R61" s="31">
        <v>0</v>
      </c>
      <c r="S61" s="31">
        <f t="shared" si="6"/>
        <v>0</v>
      </c>
      <c r="U61" s="24">
        <v>518</v>
      </c>
      <c r="V61" s="7">
        <v>0</v>
      </c>
      <c r="W61" s="3">
        <v>0</v>
      </c>
      <c r="X61" s="4">
        <f t="shared" si="7"/>
        <v>0</v>
      </c>
      <c r="Y61" s="3">
        <v>0</v>
      </c>
      <c r="AA61" s="17"/>
      <c r="AI61" s="16">
        <f>759+12</f>
        <v>771</v>
      </c>
      <c r="AJ61" s="3">
        <v>0</v>
      </c>
      <c r="AL61" s="4">
        <f t="shared" si="8"/>
        <v>0</v>
      </c>
      <c r="AN61">
        <v>0</v>
      </c>
      <c r="AO61" s="17"/>
      <c r="AW61" s="22">
        <f>1013+12</f>
        <v>1025</v>
      </c>
      <c r="AX61" s="17">
        <v>0</v>
      </c>
      <c r="BK61" s="17">
        <f t="shared" si="19"/>
        <v>2531</v>
      </c>
      <c r="BL61" s="17">
        <f t="shared" si="19"/>
        <v>0</v>
      </c>
      <c r="BM61" s="17">
        <f t="shared" si="19"/>
        <v>0</v>
      </c>
      <c r="BN61" s="4">
        <f t="shared" si="10"/>
        <v>0</v>
      </c>
      <c r="BO61" s="3">
        <f t="shared" si="16"/>
        <v>0</v>
      </c>
      <c r="BP61" s="18"/>
      <c r="BT61" s="7"/>
      <c r="BU61" s="30"/>
      <c r="BV61" s="30"/>
      <c r="BW61" s="30"/>
      <c r="CE61">
        <v>0</v>
      </c>
      <c r="CM61" s="5" t="s">
        <v>105</v>
      </c>
    </row>
    <row r="62" spans="1:93" x14ac:dyDescent="0.35">
      <c r="A62" s="16" t="s">
        <v>110</v>
      </c>
      <c r="B62" s="16" t="s">
        <v>148</v>
      </c>
      <c r="C62" s="16" t="s">
        <v>148</v>
      </c>
      <c r="D62" s="2" t="s">
        <v>107</v>
      </c>
      <c r="E62" s="16" t="s">
        <v>111</v>
      </c>
      <c r="G62" s="28"/>
      <c r="H62" s="7">
        <f>11.5+15.7</f>
        <v>27.2</v>
      </c>
      <c r="I62" s="3">
        <v>15.953427854545454</v>
      </c>
      <c r="J62" s="4">
        <f t="shared" si="18"/>
        <v>0.5865230828877005</v>
      </c>
      <c r="K62" s="3">
        <v>0</v>
      </c>
      <c r="L62" s="17">
        <v>5.2</v>
      </c>
      <c r="M62" s="4"/>
      <c r="N62" s="4">
        <v>0</v>
      </c>
      <c r="O62" s="6" t="s">
        <v>123</v>
      </c>
      <c r="P62" s="8"/>
      <c r="Q62" s="31">
        <v>0</v>
      </c>
      <c r="R62" s="31">
        <v>0</v>
      </c>
      <c r="S62" s="31">
        <f t="shared" si="6"/>
        <v>0</v>
      </c>
      <c r="U62" s="18"/>
      <c r="V62" s="7">
        <v>48</v>
      </c>
      <c r="W62" s="3">
        <v>17.598559999999999</v>
      </c>
      <c r="X62" s="4">
        <f t="shared" si="7"/>
        <v>0.36663666666666667</v>
      </c>
      <c r="Y62" s="3">
        <v>0</v>
      </c>
      <c r="AJ62" s="3">
        <v>0</v>
      </c>
      <c r="AK62" s="18"/>
      <c r="AL62" s="4">
        <f t="shared" si="8"/>
        <v>0</v>
      </c>
      <c r="AX62" s="18">
        <v>3</v>
      </c>
      <c r="BL62" s="17">
        <f>V62+AJ62+AX62+H62</f>
        <v>78.2</v>
      </c>
      <c r="BM62" s="17">
        <f>W62+AK62+AY62+I62</f>
        <v>33.551987854545452</v>
      </c>
      <c r="BN62" s="4">
        <f t="shared" si="10"/>
        <v>0.42905355312717969</v>
      </c>
      <c r="BO62" s="3">
        <f t="shared" si="16"/>
        <v>0</v>
      </c>
      <c r="CE62">
        <v>0</v>
      </c>
      <c r="CM62" s="5" t="s">
        <v>105</v>
      </c>
    </row>
    <row r="63" spans="1:93" x14ac:dyDescent="0.35">
      <c r="A63" s="16" t="s">
        <v>118</v>
      </c>
      <c r="B63" s="3" t="s">
        <v>146</v>
      </c>
      <c r="C63" s="16" t="s">
        <v>119</v>
      </c>
      <c r="D63" s="2" t="s">
        <v>108</v>
      </c>
      <c r="E63" s="16" t="s">
        <v>85</v>
      </c>
      <c r="G63" s="8"/>
      <c r="H63" s="7">
        <v>3.18</v>
      </c>
      <c r="I63" s="3">
        <v>-0.91284300754614056</v>
      </c>
      <c r="J63" s="8"/>
      <c r="K63" s="8"/>
      <c r="L63" s="8"/>
      <c r="M63" s="4"/>
      <c r="N63" s="4">
        <v>0</v>
      </c>
      <c r="O63" s="6" t="s">
        <v>123</v>
      </c>
      <c r="P63" s="8"/>
      <c r="Q63" s="31">
        <v>0</v>
      </c>
      <c r="R63" s="31">
        <v>0</v>
      </c>
      <c r="S63" s="31">
        <f t="shared" si="6"/>
        <v>0</v>
      </c>
      <c r="V63" s="7">
        <v>3.2</v>
      </c>
      <c r="W63" s="3"/>
      <c r="X63" s="4">
        <f t="shared" si="7"/>
        <v>0</v>
      </c>
      <c r="Y63" s="3">
        <v>0</v>
      </c>
      <c r="AJ63" s="3">
        <v>3.2</v>
      </c>
      <c r="AL63" s="4">
        <f t="shared" si="8"/>
        <v>0</v>
      </c>
      <c r="BL63" s="17">
        <f>V63+AJ63+AX63+H63</f>
        <v>9.58</v>
      </c>
      <c r="BM63" s="17">
        <f>W63+AK63+AY63+I63</f>
        <v>-0.91284300754614056</v>
      </c>
      <c r="BN63" s="4">
        <f t="shared" si="10"/>
        <v>-9.5286326466194213E-2</v>
      </c>
      <c r="BO63" s="3">
        <f t="shared" si="16"/>
        <v>0</v>
      </c>
      <c r="CE63">
        <v>2.12</v>
      </c>
      <c r="CM63" s="5" t="s">
        <v>105</v>
      </c>
    </row>
  </sheetData>
  <mergeCells count="6">
    <mergeCell ref="BY1:CA1"/>
    <mergeCell ref="G1:S1"/>
    <mergeCell ref="U1:AG1"/>
    <mergeCell ref="AI1:AU1"/>
    <mergeCell ref="AW1:BI1"/>
    <mergeCell ref="BK1:B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D0EA2-02E9-43B0-A368-1C9D568EE9C9}">
  <dimension ref="A1:GR66"/>
  <sheetViews>
    <sheetView workbookViewId="0">
      <selection activeCell="A2" sqref="A2"/>
    </sheetView>
  </sheetViews>
  <sheetFormatPr defaultRowHeight="14.5" x14ac:dyDescent="0.35"/>
  <cols>
    <col min="1" max="1" width="25.26953125" bestFit="1" customWidth="1"/>
    <col min="2" max="3" width="14.26953125" customWidth="1"/>
    <col min="4" max="4" width="13.54296875" customWidth="1"/>
    <col min="5" max="5" width="8.7265625" customWidth="1"/>
    <col min="6" max="6" width="5.08984375" customWidth="1"/>
    <col min="7" max="7" width="15.7265625" customWidth="1"/>
    <col min="8" max="8" width="13.90625" customWidth="1"/>
    <col min="9" max="13" width="8.7265625" customWidth="1"/>
    <col min="14" max="14" width="9.90625" customWidth="1"/>
    <col min="15" max="17" width="8.7265625" customWidth="1"/>
    <col min="18" max="18" width="10.90625" customWidth="1"/>
    <col min="19" max="19" width="10.7265625" customWidth="1"/>
    <col min="20" max="20" width="10.1796875" customWidth="1"/>
    <col min="21" max="21" width="8.7265625" customWidth="1"/>
    <col min="22" max="22" width="15.7265625" customWidth="1"/>
    <col min="23" max="23" width="13.90625" customWidth="1"/>
    <col min="24" max="24" width="10" customWidth="1"/>
    <col min="25" max="28" width="8.7265625" customWidth="1"/>
    <col min="29" max="29" width="9.90625" customWidth="1"/>
    <col min="30" max="30" width="19.7265625" customWidth="1"/>
    <col min="31" max="32" width="8.7265625" customWidth="1"/>
    <col min="33" max="33" width="10.90625" customWidth="1"/>
    <col min="34" max="34" width="10.7265625" customWidth="1"/>
    <col min="35" max="35" width="10.1796875" customWidth="1"/>
    <col min="36" max="36" width="8.7265625" customWidth="1"/>
    <col min="37" max="37" width="15.7265625" customWidth="1"/>
    <col min="38" max="43" width="8.7265625" customWidth="1"/>
    <col min="44" max="44" width="9.90625" customWidth="1"/>
    <col min="45" max="47" width="8.7265625" customWidth="1"/>
    <col min="48" max="48" width="10.90625" customWidth="1"/>
    <col min="49" max="49" width="10.7265625" customWidth="1"/>
    <col min="50" max="50" width="10.1796875" customWidth="1"/>
    <col min="51" max="51" width="8.7265625" customWidth="1"/>
    <col min="52" max="52" width="14.36328125" customWidth="1"/>
    <col min="53" max="66" width="8.7265625" customWidth="1"/>
    <col min="67" max="67" width="14.36328125" customWidth="1"/>
    <col min="68" max="68" width="13.90625" customWidth="1"/>
    <col min="69" max="69" width="4.6328125" customWidth="1"/>
    <col min="70" max="70" width="5.08984375" customWidth="1"/>
    <col min="71" max="71" width="4.26953125" customWidth="1"/>
    <col min="72" max="72" width="3.36328125" customWidth="1"/>
    <col min="73" max="73" width="4.36328125" customWidth="1"/>
    <col min="74" max="74" width="9.90625" customWidth="1"/>
    <col min="75" max="75" width="19.7265625" customWidth="1"/>
    <col min="76" max="76" width="8" customWidth="1"/>
    <col min="77" max="77" width="7" customWidth="1"/>
    <col min="78" max="78" width="10.90625" customWidth="1"/>
    <col min="79" max="79" width="10.7265625" customWidth="1"/>
    <col min="80" max="80" width="10.1796875" customWidth="1"/>
    <col min="81" max="81" width="8.7265625" customWidth="1"/>
    <col min="82" max="82" width="14.36328125" customWidth="1"/>
    <col min="83" max="83" width="13.90625" customWidth="1"/>
    <col min="84" max="84" width="4.6328125" customWidth="1"/>
    <col min="85" max="85" width="5.08984375" customWidth="1"/>
    <col min="86" max="86" width="4.26953125" customWidth="1"/>
    <col min="87" max="87" width="3.36328125" customWidth="1"/>
    <col min="88" max="88" width="4.36328125" customWidth="1"/>
    <col min="89" max="89" width="9.90625" customWidth="1"/>
    <col min="90" max="90" width="19.7265625" customWidth="1"/>
    <col min="91" max="91" width="8" customWidth="1"/>
    <col min="92" max="92" width="7" customWidth="1"/>
    <col min="93" max="93" width="10.90625" customWidth="1"/>
    <col min="94" max="94" width="10.7265625" customWidth="1"/>
    <col min="95" max="95" width="10.1796875" customWidth="1"/>
    <col min="96" max="96" width="8.7265625" customWidth="1"/>
    <col min="97" max="97" width="14.36328125" customWidth="1"/>
    <col min="98" max="98" width="13.90625" customWidth="1"/>
    <col min="99" max="99" width="4.6328125" customWidth="1"/>
    <col min="100" max="100" width="5.08984375" customWidth="1"/>
    <col min="101" max="101" width="4.26953125" customWidth="1"/>
    <col min="102" max="102" width="3.36328125" customWidth="1"/>
    <col min="103" max="103" width="4.36328125" customWidth="1"/>
    <col min="104" max="104" width="9.90625" customWidth="1"/>
    <col min="105" max="105" width="19.7265625" customWidth="1"/>
    <col min="106" max="106" width="8" customWidth="1"/>
    <col min="107" max="107" width="7" customWidth="1"/>
    <col min="108" max="108" width="10.90625" customWidth="1"/>
    <col min="109" max="109" width="10.7265625" customWidth="1"/>
    <col min="110" max="110" width="10.1796875" customWidth="1"/>
    <col min="111" max="111" width="8.7265625" customWidth="1"/>
    <col min="112" max="112" width="14.36328125" customWidth="1"/>
    <col min="113" max="113" width="13.90625" customWidth="1"/>
    <col min="114" max="114" width="4.6328125" customWidth="1"/>
    <col min="115" max="115" width="5.08984375" customWidth="1"/>
    <col min="116" max="116" width="4.26953125" customWidth="1"/>
    <col min="117" max="117" width="3.36328125" customWidth="1"/>
    <col min="118" max="118" width="4.36328125" customWidth="1"/>
    <col min="119" max="119" width="9.90625" customWidth="1"/>
    <col min="120" max="120" width="19.7265625" customWidth="1"/>
    <col min="121" max="121" width="8" customWidth="1"/>
    <col min="122" max="122" width="7" customWidth="1"/>
    <col min="123" max="123" width="10.90625" customWidth="1"/>
    <col min="124" max="124" width="10.7265625" customWidth="1"/>
    <col min="125" max="125" width="10.1796875" customWidth="1"/>
    <col min="126" max="171" width="8.7265625" customWidth="1"/>
    <col min="172" max="172" width="14.36328125" customWidth="1"/>
    <col min="173" max="186" width="8.7265625" customWidth="1"/>
    <col min="187" max="187" width="14.36328125" bestFit="1" customWidth="1"/>
    <col min="188" max="188" width="13.90625" bestFit="1" customWidth="1"/>
    <col min="194" max="194" width="9.90625" bestFit="1" customWidth="1"/>
    <col min="198" max="198" width="9.54296875" customWidth="1"/>
    <col min="199" max="199" width="10.7265625" bestFit="1" customWidth="1"/>
  </cols>
  <sheetData>
    <row r="1" spans="1:200" x14ac:dyDescent="0.35">
      <c r="G1" s="37" t="s">
        <v>112</v>
      </c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V1" s="37" t="s">
        <v>114</v>
      </c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K1" s="36" t="s">
        <v>115</v>
      </c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Z1" s="36" t="s">
        <v>128</v>
      </c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O1" s="36" t="s">
        <v>129</v>
      </c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D1" s="36" t="s">
        <v>130</v>
      </c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S1" s="36" t="s">
        <v>131</v>
      </c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H1" s="36" t="s">
        <v>132</v>
      </c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  <c r="DW1" s="36" t="s">
        <v>133</v>
      </c>
      <c r="DX1" s="36"/>
      <c r="DY1" s="36"/>
      <c r="DZ1" s="36"/>
      <c r="EA1" s="36"/>
      <c r="EB1" s="36"/>
      <c r="EC1" s="36"/>
      <c r="ED1" s="36"/>
      <c r="EE1" s="36"/>
      <c r="EF1" s="36"/>
      <c r="EG1" s="36"/>
      <c r="EH1" s="36"/>
      <c r="EI1" s="36"/>
      <c r="EJ1" s="36"/>
      <c r="EL1" s="36" t="s">
        <v>134</v>
      </c>
      <c r="EM1" s="36"/>
      <c r="EN1" s="36"/>
      <c r="EO1" s="36"/>
      <c r="EP1" s="36"/>
      <c r="EQ1" s="36"/>
      <c r="ER1" s="36"/>
      <c r="ES1" s="36"/>
      <c r="ET1" s="36"/>
      <c r="EU1" s="36"/>
      <c r="EV1" s="36"/>
      <c r="EW1" s="36"/>
      <c r="EX1" s="36"/>
      <c r="EY1" s="36"/>
      <c r="FA1" s="36" t="s">
        <v>135</v>
      </c>
      <c r="FB1" s="36"/>
      <c r="FC1" s="36"/>
      <c r="FD1" s="36"/>
      <c r="FE1" s="36"/>
      <c r="FF1" s="36"/>
      <c r="FG1" s="36"/>
      <c r="FH1" s="36"/>
      <c r="FI1" s="36"/>
      <c r="FJ1" s="36"/>
      <c r="FK1" s="36"/>
      <c r="FL1" s="36"/>
      <c r="FM1" s="36"/>
      <c r="FN1" s="36"/>
      <c r="FP1" s="36" t="s">
        <v>136</v>
      </c>
      <c r="FQ1" s="36"/>
      <c r="FR1" s="36"/>
      <c r="FS1" s="36"/>
      <c r="FT1" s="36"/>
      <c r="FU1" s="36"/>
      <c r="FV1" s="36"/>
      <c r="FW1" s="36"/>
      <c r="FX1" s="36"/>
      <c r="FY1" s="36"/>
      <c r="FZ1" s="36"/>
      <c r="GA1" s="36"/>
      <c r="GB1" s="36"/>
      <c r="GC1" s="36"/>
      <c r="GE1" s="36" t="s">
        <v>158</v>
      </c>
      <c r="GF1" s="36"/>
      <c r="GG1" s="36"/>
      <c r="GH1" s="36"/>
      <c r="GI1" s="36"/>
      <c r="GJ1" s="36"/>
      <c r="GK1" s="36"/>
      <c r="GL1" s="36"/>
      <c r="GM1" s="36"/>
      <c r="GN1" s="36"/>
      <c r="GO1" s="36"/>
      <c r="GP1" s="36"/>
      <c r="GQ1" s="36"/>
      <c r="GR1" s="36"/>
    </row>
    <row r="2" spans="1:200" x14ac:dyDescent="0.35">
      <c r="A2" s="1" t="s">
        <v>0</v>
      </c>
      <c r="B2" s="1" t="s">
        <v>81</v>
      </c>
      <c r="C2" s="1" t="s">
        <v>77</v>
      </c>
      <c r="D2" s="1" t="s">
        <v>106</v>
      </c>
      <c r="E2" s="1" t="s">
        <v>1</v>
      </c>
      <c r="G2" s="1" t="s">
        <v>117</v>
      </c>
      <c r="H2" s="1" t="s">
        <v>113</v>
      </c>
      <c r="I2" s="1" t="s">
        <v>26</v>
      </c>
      <c r="J2" s="1" t="s">
        <v>25</v>
      </c>
      <c r="K2" s="1" t="s">
        <v>27</v>
      </c>
      <c r="L2" s="1" t="s">
        <v>68</v>
      </c>
      <c r="M2" s="1" t="s">
        <v>103</v>
      </c>
      <c r="N2" s="1" t="s">
        <v>102</v>
      </c>
      <c r="O2" s="1" t="s">
        <v>34</v>
      </c>
      <c r="P2" s="1" t="s">
        <v>116</v>
      </c>
      <c r="Q2" s="1" t="s">
        <v>28</v>
      </c>
      <c r="R2" s="11" t="s">
        <v>124</v>
      </c>
      <c r="S2" s="11" t="s">
        <v>125</v>
      </c>
      <c r="T2" s="11" t="s">
        <v>126</v>
      </c>
      <c r="V2" s="1" t="s">
        <v>117</v>
      </c>
      <c r="W2" s="1" t="s">
        <v>113</v>
      </c>
      <c r="X2" s="1" t="s">
        <v>26</v>
      </c>
      <c r="Y2" s="1" t="s">
        <v>25</v>
      </c>
      <c r="Z2" s="1" t="s">
        <v>27</v>
      </c>
      <c r="AA2" s="1" t="s">
        <v>68</v>
      </c>
      <c r="AB2" s="1" t="s">
        <v>103</v>
      </c>
      <c r="AC2" s="1" t="s">
        <v>102</v>
      </c>
      <c r="AD2" s="1" t="s">
        <v>34</v>
      </c>
      <c r="AE2" s="1" t="s">
        <v>116</v>
      </c>
      <c r="AF2" s="1" t="s">
        <v>28</v>
      </c>
      <c r="AG2" s="11" t="s">
        <v>124</v>
      </c>
      <c r="AH2" s="11" t="s">
        <v>125</v>
      </c>
      <c r="AI2" s="11" t="s">
        <v>126</v>
      </c>
      <c r="AK2" s="1" t="s">
        <v>117</v>
      </c>
      <c r="AL2" s="1" t="s">
        <v>113</v>
      </c>
      <c r="AM2" s="1" t="s">
        <v>26</v>
      </c>
      <c r="AN2" s="1" t="s">
        <v>25</v>
      </c>
      <c r="AO2" s="1" t="s">
        <v>27</v>
      </c>
      <c r="AP2" s="1" t="s">
        <v>68</v>
      </c>
      <c r="AQ2" s="1" t="s">
        <v>103</v>
      </c>
      <c r="AR2" s="1" t="s">
        <v>102</v>
      </c>
      <c r="AS2" s="1" t="s">
        <v>34</v>
      </c>
      <c r="AT2" s="1" t="s">
        <v>116</v>
      </c>
      <c r="AU2" s="1" t="s">
        <v>28</v>
      </c>
      <c r="AV2" s="1" t="s">
        <v>124</v>
      </c>
      <c r="AW2" s="1" t="s">
        <v>125</v>
      </c>
      <c r="AX2" s="1" t="s">
        <v>126</v>
      </c>
      <c r="AZ2" s="1" t="s">
        <v>117</v>
      </c>
      <c r="BA2" s="1" t="s">
        <v>113</v>
      </c>
      <c r="BB2" s="1" t="s">
        <v>26</v>
      </c>
      <c r="BC2" s="1" t="s">
        <v>25</v>
      </c>
      <c r="BD2" s="1" t="s">
        <v>27</v>
      </c>
      <c r="BE2" s="1" t="s">
        <v>68</v>
      </c>
      <c r="BF2" s="1" t="s">
        <v>103</v>
      </c>
      <c r="BG2" s="1" t="s">
        <v>102</v>
      </c>
      <c r="BH2" s="1" t="s">
        <v>34</v>
      </c>
      <c r="BI2" s="1" t="s">
        <v>116</v>
      </c>
      <c r="BJ2" s="1" t="s">
        <v>28</v>
      </c>
      <c r="BK2" s="1" t="s">
        <v>124</v>
      </c>
      <c r="BL2" s="1" t="s">
        <v>125</v>
      </c>
      <c r="BM2" s="1" t="s">
        <v>126</v>
      </c>
      <c r="BO2" s="1" t="s">
        <v>117</v>
      </c>
      <c r="BP2" s="1" t="s">
        <v>113</v>
      </c>
      <c r="BQ2" s="1" t="s">
        <v>26</v>
      </c>
      <c r="BR2" s="1" t="s">
        <v>25</v>
      </c>
      <c r="BS2" s="1" t="s">
        <v>27</v>
      </c>
      <c r="BT2" s="1" t="s">
        <v>68</v>
      </c>
      <c r="BU2" s="1" t="s">
        <v>103</v>
      </c>
      <c r="BV2" s="1" t="s">
        <v>102</v>
      </c>
      <c r="BW2" s="1" t="s">
        <v>34</v>
      </c>
      <c r="BX2" s="1" t="s">
        <v>116</v>
      </c>
      <c r="BY2" s="1" t="s">
        <v>28</v>
      </c>
      <c r="BZ2" s="1" t="s">
        <v>124</v>
      </c>
      <c r="CA2" s="1" t="s">
        <v>125</v>
      </c>
      <c r="CB2" s="1" t="s">
        <v>126</v>
      </c>
      <c r="CD2" s="1" t="s">
        <v>117</v>
      </c>
      <c r="CE2" s="1" t="s">
        <v>113</v>
      </c>
      <c r="CF2" s="1" t="s">
        <v>26</v>
      </c>
      <c r="CG2" s="1" t="s">
        <v>25</v>
      </c>
      <c r="CH2" s="1" t="s">
        <v>27</v>
      </c>
      <c r="CI2" s="1" t="s">
        <v>68</v>
      </c>
      <c r="CJ2" s="1" t="s">
        <v>103</v>
      </c>
      <c r="CK2" s="1" t="s">
        <v>102</v>
      </c>
      <c r="CL2" s="1" t="s">
        <v>34</v>
      </c>
      <c r="CM2" s="1" t="s">
        <v>116</v>
      </c>
      <c r="CN2" s="1" t="s">
        <v>28</v>
      </c>
      <c r="CO2" s="1" t="s">
        <v>124</v>
      </c>
      <c r="CP2" s="1" t="s">
        <v>125</v>
      </c>
      <c r="CQ2" s="1" t="s">
        <v>126</v>
      </c>
      <c r="CS2" s="1" t="s">
        <v>117</v>
      </c>
      <c r="CT2" s="1" t="s">
        <v>113</v>
      </c>
      <c r="CU2" s="1" t="s">
        <v>26</v>
      </c>
      <c r="CV2" s="1" t="s">
        <v>25</v>
      </c>
      <c r="CW2" s="1" t="s">
        <v>27</v>
      </c>
      <c r="CX2" s="1" t="s">
        <v>68</v>
      </c>
      <c r="CY2" s="1" t="s">
        <v>103</v>
      </c>
      <c r="CZ2" s="1" t="s">
        <v>102</v>
      </c>
      <c r="DA2" s="1" t="s">
        <v>34</v>
      </c>
      <c r="DB2" s="1" t="s">
        <v>116</v>
      </c>
      <c r="DC2" s="1" t="s">
        <v>28</v>
      </c>
      <c r="DD2" s="1" t="s">
        <v>124</v>
      </c>
      <c r="DE2" s="1" t="s">
        <v>125</v>
      </c>
      <c r="DF2" s="1" t="s">
        <v>126</v>
      </c>
      <c r="DH2" s="1" t="s">
        <v>117</v>
      </c>
      <c r="DI2" s="1" t="s">
        <v>113</v>
      </c>
      <c r="DJ2" s="1" t="s">
        <v>26</v>
      </c>
      <c r="DK2" s="1" t="s">
        <v>25</v>
      </c>
      <c r="DL2" s="1" t="s">
        <v>27</v>
      </c>
      <c r="DM2" s="1" t="s">
        <v>68</v>
      </c>
      <c r="DN2" s="1" t="s">
        <v>103</v>
      </c>
      <c r="DO2" s="1" t="s">
        <v>102</v>
      </c>
      <c r="DP2" s="1" t="s">
        <v>34</v>
      </c>
      <c r="DQ2" s="1" t="s">
        <v>116</v>
      </c>
      <c r="DR2" s="1" t="s">
        <v>28</v>
      </c>
      <c r="DS2" s="1" t="s">
        <v>124</v>
      </c>
      <c r="DT2" s="1" t="s">
        <v>125</v>
      </c>
      <c r="DU2" s="1" t="s">
        <v>126</v>
      </c>
      <c r="DW2" s="1" t="s">
        <v>117</v>
      </c>
      <c r="DX2" s="1" t="s">
        <v>113</v>
      </c>
      <c r="DY2" s="1" t="s">
        <v>26</v>
      </c>
      <c r="DZ2" s="1" t="s">
        <v>25</v>
      </c>
      <c r="EA2" s="1" t="s">
        <v>27</v>
      </c>
      <c r="EB2" s="1" t="s">
        <v>68</v>
      </c>
      <c r="EC2" s="1" t="s">
        <v>103</v>
      </c>
      <c r="ED2" s="1" t="s">
        <v>102</v>
      </c>
      <c r="EE2" s="1" t="s">
        <v>34</v>
      </c>
      <c r="EF2" s="1" t="s">
        <v>116</v>
      </c>
      <c r="EG2" s="1" t="s">
        <v>28</v>
      </c>
      <c r="EH2" s="1" t="s">
        <v>124</v>
      </c>
      <c r="EI2" s="1" t="s">
        <v>125</v>
      </c>
      <c r="EJ2" s="1" t="s">
        <v>126</v>
      </c>
      <c r="EL2" s="1" t="s">
        <v>117</v>
      </c>
      <c r="EM2" s="1" t="s">
        <v>113</v>
      </c>
      <c r="EN2" s="1" t="s">
        <v>26</v>
      </c>
      <c r="EO2" s="1" t="s">
        <v>25</v>
      </c>
      <c r="EP2" s="1" t="s">
        <v>27</v>
      </c>
      <c r="EQ2" s="1" t="s">
        <v>68</v>
      </c>
      <c r="ER2" s="1" t="s">
        <v>103</v>
      </c>
      <c r="ES2" s="1" t="s">
        <v>102</v>
      </c>
      <c r="ET2" s="1" t="s">
        <v>34</v>
      </c>
      <c r="EU2" s="1" t="s">
        <v>116</v>
      </c>
      <c r="EV2" s="1" t="s">
        <v>28</v>
      </c>
      <c r="EW2" s="1" t="s">
        <v>124</v>
      </c>
      <c r="EX2" s="1" t="s">
        <v>125</v>
      </c>
      <c r="EY2" s="1" t="s">
        <v>126</v>
      </c>
      <c r="FA2" s="1" t="s">
        <v>117</v>
      </c>
      <c r="FB2" s="1" t="s">
        <v>113</v>
      </c>
      <c r="FC2" s="1" t="s">
        <v>26</v>
      </c>
      <c r="FD2" s="1" t="s">
        <v>25</v>
      </c>
      <c r="FE2" s="1" t="s">
        <v>27</v>
      </c>
      <c r="FF2" s="1" t="s">
        <v>68</v>
      </c>
      <c r="FG2" s="1" t="s">
        <v>103</v>
      </c>
      <c r="FH2" s="1" t="s">
        <v>102</v>
      </c>
      <c r="FI2" s="1" t="s">
        <v>34</v>
      </c>
      <c r="FJ2" s="1" t="s">
        <v>116</v>
      </c>
      <c r="FK2" s="1" t="s">
        <v>28</v>
      </c>
      <c r="FL2" s="1" t="s">
        <v>124</v>
      </c>
      <c r="FM2" s="1" t="s">
        <v>125</v>
      </c>
      <c r="FN2" s="1" t="s">
        <v>126</v>
      </c>
      <c r="FP2" s="1" t="s">
        <v>117</v>
      </c>
      <c r="FQ2" s="1" t="s">
        <v>113</v>
      </c>
      <c r="FR2" s="1" t="s">
        <v>26</v>
      </c>
      <c r="FS2" s="1" t="s">
        <v>25</v>
      </c>
      <c r="FT2" s="1" t="s">
        <v>27</v>
      </c>
      <c r="FU2" s="1" t="s">
        <v>68</v>
      </c>
      <c r="FV2" s="1" t="s">
        <v>103</v>
      </c>
      <c r="FW2" s="1" t="s">
        <v>102</v>
      </c>
      <c r="FX2" s="1" t="s">
        <v>34</v>
      </c>
      <c r="FY2" s="1" t="s">
        <v>116</v>
      </c>
      <c r="FZ2" s="1" t="s">
        <v>28</v>
      </c>
      <c r="GA2" s="1" t="s">
        <v>124</v>
      </c>
      <c r="GB2" s="1" t="s">
        <v>125</v>
      </c>
      <c r="GC2" s="1" t="s">
        <v>126</v>
      </c>
      <c r="GE2" s="1" t="s">
        <v>117</v>
      </c>
      <c r="GF2" s="1" t="s">
        <v>113</v>
      </c>
      <c r="GG2" s="1" t="s">
        <v>26</v>
      </c>
      <c r="GH2" s="1" t="s">
        <v>25</v>
      </c>
      <c r="GI2" s="1" t="s">
        <v>27</v>
      </c>
      <c r="GJ2" s="1" t="s">
        <v>68</v>
      </c>
      <c r="GK2" s="1" t="s">
        <v>103</v>
      </c>
      <c r="GL2" s="1" t="s">
        <v>102</v>
      </c>
      <c r="GM2" s="1" t="s">
        <v>34</v>
      </c>
      <c r="GN2" s="1" t="s">
        <v>116</v>
      </c>
      <c r="GO2" s="1" t="s">
        <v>28</v>
      </c>
      <c r="GP2" s="1" t="s">
        <v>124</v>
      </c>
      <c r="GQ2" s="1" t="s">
        <v>125</v>
      </c>
      <c r="GR2" s="1" t="s">
        <v>126</v>
      </c>
    </row>
    <row r="3" spans="1:200" x14ac:dyDescent="0.35">
      <c r="A3" s="3" t="s">
        <v>36</v>
      </c>
      <c r="B3" s="2" t="s">
        <v>144</v>
      </c>
      <c r="C3" s="2" t="s">
        <v>144</v>
      </c>
      <c r="D3" s="2" t="s">
        <v>107</v>
      </c>
      <c r="E3" s="2" t="s">
        <v>69</v>
      </c>
      <c r="F3" s="18"/>
      <c r="G3" s="14">
        <v>120</v>
      </c>
      <c r="H3" s="17">
        <v>120</v>
      </c>
      <c r="I3" s="6">
        <v>57.005134995141646</v>
      </c>
      <c r="J3" s="4">
        <f>IFERROR(I3/H3,0)</f>
        <v>0.47504279162618041</v>
      </c>
      <c r="K3" s="3">
        <v>107867.91952886705</v>
      </c>
      <c r="L3" s="17">
        <v>58.4</v>
      </c>
      <c r="M3" s="17">
        <f>IFERROR(G3/T3*100000,0)</f>
        <v>48387.096774193553</v>
      </c>
      <c r="N3" s="4">
        <f>IFERROR(R3/T3,0)</f>
        <v>0.59677419354838712</v>
      </c>
      <c r="O3" s="6">
        <v>3.9572192513368987</v>
      </c>
      <c r="P3" s="6"/>
      <c r="Q3" s="7">
        <v>2.0547945205479454</v>
      </c>
      <c r="R3" s="30">
        <v>148</v>
      </c>
      <c r="S3" s="30">
        <v>100</v>
      </c>
      <c r="T3" s="30">
        <f>R3+S3</f>
        <v>248</v>
      </c>
      <c r="V3" s="14">
        <v>167</v>
      </c>
      <c r="W3" s="17">
        <v>176.11369999999999</v>
      </c>
      <c r="X3" s="6">
        <v>111.09478625049888</v>
      </c>
      <c r="Y3" s="4">
        <f>IFERROR(X3/W3,0)</f>
        <v>0.63081285698102352</v>
      </c>
      <c r="Z3" s="3">
        <v>105952.46310270636</v>
      </c>
      <c r="AA3" s="17">
        <v>62.4</v>
      </c>
      <c r="AB3" s="17">
        <v>49193.770949720667</v>
      </c>
      <c r="AC3" s="4">
        <f>IFERROR(AG3/AI3,0)</f>
        <v>0.6</v>
      </c>
      <c r="AD3" s="6">
        <v>5.1884057971014492</v>
      </c>
      <c r="AE3" s="6">
        <f>17611370/100000</f>
        <v>176.11369999999999</v>
      </c>
      <c r="AF3" s="7">
        <v>2.8223349358974361</v>
      </c>
      <c r="AG3" s="30">
        <v>214.79999999999998</v>
      </c>
      <c r="AH3" s="30">
        <v>143.20000000000002</v>
      </c>
      <c r="AI3" s="30">
        <f>AG3+AH3</f>
        <v>358</v>
      </c>
      <c r="AK3" s="14"/>
      <c r="AL3" s="17"/>
      <c r="AM3" s="3"/>
      <c r="AN3" s="4"/>
      <c r="AO3" s="3"/>
      <c r="AP3" s="17"/>
      <c r="AQ3" s="17"/>
      <c r="AR3" s="6"/>
      <c r="AS3" s="6"/>
      <c r="AT3" s="6"/>
      <c r="AU3" s="7"/>
      <c r="AV3" s="8"/>
      <c r="AW3" s="8"/>
      <c r="AX3" s="8"/>
      <c r="AZ3" s="14"/>
      <c r="BA3" s="17"/>
      <c r="BB3" s="3"/>
      <c r="BC3" s="4"/>
      <c r="BD3" s="3"/>
      <c r="BE3" s="17"/>
      <c r="BF3" s="17"/>
      <c r="BG3" s="6"/>
      <c r="BH3" s="6"/>
      <c r="BI3" s="6"/>
      <c r="BJ3" s="7"/>
      <c r="BK3" s="8"/>
      <c r="BL3" s="8"/>
      <c r="BM3" s="8"/>
      <c r="BO3" s="14"/>
      <c r="BP3" s="17"/>
      <c r="BQ3" s="3"/>
      <c r="BR3" s="4"/>
      <c r="BS3" s="3"/>
      <c r="BT3" s="17"/>
      <c r="BU3" s="17"/>
      <c r="BV3" s="6"/>
      <c r="BW3" s="6"/>
      <c r="BX3" s="6"/>
      <c r="BY3" s="7"/>
      <c r="BZ3" s="8"/>
      <c r="CA3" s="8"/>
      <c r="CB3" s="8"/>
      <c r="CD3" s="14"/>
      <c r="CE3" s="17"/>
      <c r="CF3" s="3"/>
      <c r="CG3" s="4"/>
      <c r="CH3" s="3"/>
      <c r="CI3" s="17"/>
      <c r="CJ3" s="17"/>
      <c r="CK3" s="6"/>
      <c r="CL3" s="6"/>
      <c r="CM3" s="6"/>
      <c r="CN3" s="7"/>
      <c r="CO3" s="8"/>
      <c r="CP3" s="8"/>
      <c r="CQ3" s="8"/>
      <c r="CS3" s="14"/>
      <c r="CT3" s="17"/>
      <c r="CU3" s="3"/>
      <c r="CV3" s="4"/>
      <c r="CW3" s="3"/>
      <c r="CX3" s="17"/>
      <c r="CY3" s="17"/>
      <c r="CZ3" s="6"/>
      <c r="DA3" s="6"/>
      <c r="DB3" s="6"/>
      <c r="DC3" s="7"/>
      <c r="DD3" s="8"/>
      <c r="DE3" s="8"/>
      <c r="DF3" s="8"/>
      <c r="DH3" s="14"/>
      <c r="DI3" s="17"/>
      <c r="DJ3" s="3"/>
      <c r="DK3" s="4"/>
      <c r="DL3" s="3"/>
      <c r="DM3" s="17"/>
      <c r="DN3" s="17"/>
      <c r="DO3" s="6"/>
      <c r="DP3" s="6"/>
      <c r="DQ3" s="6"/>
      <c r="DR3" s="7"/>
      <c r="DS3" s="8"/>
      <c r="DT3" s="8"/>
      <c r="DU3" s="8"/>
      <c r="DW3" s="14"/>
      <c r="DX3" s="17"/>
      <c r="DY3" s="3"/>
      <c r="DZ3" s="4"/>
      <c r="EA3" s="3"/>
      <c r="EB3" s="17"/>
      <c r="EC3" s="17"/>
      <c r="ED3" s="6"/>
      <c r="EE3" s="6"/>
      <c r="EF3" s="6"/>
      <c r="EG3" s="7"/>
      <c r="EH3" s="8"/>
      <c r="EI3" s="8"/>
      <c r="EJ3" s="8"/>
      <c r="EL3" s="14"/>
      <c r="EM3" s="17"/>
      <c r="EN3" s="3"/>
      <c r="EO3" s="4"/>
      <c r="EP3" s="3"/>
      <c r="EQ3" s="17"/>
      <c r="ER3" s="17"/>
      <c r="ES3" s="6"/>
      <c r="ET3" s="6"/>
      <c r="EU3" s="6"/>
      <c r="EV3" s="7"/>
      <c r="EW3" s="8"/>
      <c r="EX3" s="8"/>
      <c r="EY3" s="8"/>
      <c r="FA3" s="14"/>
      <c r="FB3" s="17"/>
      <c r="FC3" s="3"/>
      <c r="FD3" s="4"/>
      <c r="FE3" s="3"/>
      <c r="FF3" s="17"/>
      <c r="FG3" s="17"/>
      <c r="FH3" s="6"/>
      <c r="FI3" s="6"/>
      <c r="FJ3" s="6"/>
      <c r="FK3" s="7"/>
      <c r="FL3" s="8"/>
      <c r="FM3" s="8"/>
      <c r="FN3" s="8"/>
      <c r="FP3" s="14"/>
      <c r="FQ3" s="17"/>
      <c r="FR3" s="3"/>
      <c r="FS3" s="4"/>
      <c r="FT3" s="3"/>
      <c r="FU3" s="17"/>
      <c r="FV3" s="17"/>
      <c r="FW3" s="6"/>
      <c r="FX3" s="6"/>
      <c r="FY3" s="6"/>
      <c r="FZ3" s="7"/>
      <c r="GA3" s="8"/>
      <c r="GB3" s="8"/>
      <c r="GC3" s="8"/>
      <c r="GE3" s="14">
        <f>G3+V3+AK3+AZ3+BO3+CD3+CS3+DH3+DW3+EL3+FA3+FP3</f>
        <v>287</v>
      </c>
      <c r="GF3" s="14">
        <f>H3+W3+AL3+BA3+BP3+CE3+CT3+DI3+DX3+EM3+FB3+FQ3</f>
        <v>296.11369999999999</v>
      </c>
      <c r="GG3" s="14">
        <f>I3+X3+AM3+BB3+BQ3+CF3+CU3+DJ3+DY3+EN3+FC3+FR3</f>
        <v>168.09992124564053</v>
      </c>
      <c r="GH3" s="4">
        <f>IFERROR(GG3/GF3,0)</f>
        <v>0.56768707846222766</v>
      </c>
      <c r="GI3" s="3">
        <f>AVERAGE(K3,Z3,AO3,BD3,BS3,CH3,CW3,DL3,EA3,EP3,FE3,FT3)</f>
        <v>106910.19131578671</v>
      </c>
      <c r="GJ3" s="3">
        <f>AVERAGE(L3,AA3,AP3,BE3,BT3,CI3,CX3,DM3,EB3,EQ3,FF3,FU3)</f>
        <v>60.4</v>
      </c>
      <c r="GK3" s="17">
        <f>GF3/GR3*100000</f>
        <v>48863.646864686467</v>
      </c>
      <c r="GL3" s="4">
        <f>GP3/GR3</f>
        <v>0.59867986798679862</v>
      </c>
      <c r="GM3" s="3">
        <f>AVERAGE(O3,AD3,AS3,BH3,BW3,CL3,DA3,DP3,EE3,ET3,FI3,FX3)</f>
        <v>4.5728125242191737</v>
      </c>
      <c r="GN3" s="14">
        <f>P3+AE3+AT3+BI3+BX3+CM3+DB3+DQ3+EF3+EU3+FJ3+FY3</f>
        <v>176.11369999999999</v>
      </c>
      <c r="GO3" s="3">
        <f>AVERAGE(Q3,AF3,AU3,BJ3,BY3,CN3,DC3,DR3,EG3,EV3,FK3,FZ3)</f>
        <v>2.4385647282226905</v>
      </c>
      <c r="GP3" s="35">
        <f>R3+AG3+AV3+BK3+BZ3+CO3+DD3+DS3+EH3+EW3+FL3+GA3</f>
        <v>362.79999999999995</v>
      </c>
      <c r="GQ3" s="35">
        <f>S3+AH3+AW3+BL3+CA3+CP3+DE3+DT3+EI3+EX3+FM3+GB3</f>
        <v>243.20000000000002</v>
      </c>
      <c r="GR3" s="35">
        <f>T3+AI3+AX3+BM3+CB3+CQ3+DF3+DU3+EJ3+EY3+FN3+GC3</f>
        <v>606</v>
      </c>
    </row>
    <row r="4" spans="1:200" x14ac:dyDescent="0.35">
      <c r="A4" s="3" t="s">
        <v>60</v>
      </c>
      <c r="B4" s="2" t="s">
        <v>144</v>
      </c>
      <c r="C4" s="2" t="s">
        <v>84</v>
      </c>
      <c r="D4" s="2" t="s">
        <v>107</v>
      </c>
      <c r="E4" s="3" t="s">
        <v>69</v>
      </c>
      <c r="F4" s="18"/>
      <c r="G4" s="14">
        <v>1</v>
      </c>
      <c r="H4" s="17">
        <v>2.2562000000000002</v>
      </c>
      <c r="I4" s="6">
        <v>-0.68038551386501267</v>
      </c>
      <c r="J4" s="4">
        <f t="shared" ref="J4:J62" si="0">IFERROR(I4/H4,0)</f>
        <v>-0.30156258924962887</v>
      </c>
      <c r="K4" s="3">
        <v>146829.27569325062</v>
      </c>
      <c r="L4" s="17">
        <v>2</v>
      </c>
      <c r="M4" s="17">
        <f t="shared" ref="M4:M64" si="1">IFERROR(G4/T4*100000,0)</f>
        <v>33333.333333333328</v>
      </c>
      <c r="N4" s="4">
        <f t="shared" ref="N4:N64" si="2">IFERROR(R4/T4,0)</f>
        <v>0.33333333333333331</v>
      </c>
      <c r="O4" s="3" t="s">
        <v>123</v>
      </c>
      <c r="P4" s="6"/>
      <c r="Q4" s="7">
        <v>1.1281000000000001</v>
      </c>
      <c r="R4" s="30">
        <v>1</v>
      </c>
      <c r="S4" s="30">
        <v>2</v>
      </c>
      <c r="T4" s="30">
        <f t="shared" ref="T4:T64" si="3">R4+S4</f>
        <v>3</v>
      </c>
      <c r="V4" s="14">
        <v>2</v>
      </c>
      <c r="W4" s="17">
        <v>7.25</v>
      </c>
      <c r="X4" s="6">
        <v>3.307519602003786</v>
      </c>
      <c r="Y4" s="4">
        <f t="shared" ref="Y4:Y64" si="4">IFERROR(X4/W4,0)</f>
        <v>0.4562096002763843</v>
      </c>
      <c r="Z4" s="3">
        <v>166800.79643603964</v>
      </c>
      <c r="AA4" s="17">
        <v>2.4</v>
      </c>
      <c r="AB4" s="17">
        <v>120833.33333333333</v>
      </c>
      <c r="AC4" s="4">
        <f t="shared" ref="AC4:AC64" si="5">IFERROR(AG4/AI4,0)</f>
        <v>0.33333333333333331</v>
      </c>
      <c r="AD4" s="6" t="s">
        <v>123</v>
      </c>
      <c r="AE4" s="3">
        <f>725000/100000</f>
        <v>7.25</v>
      </c>
      <c r="AF4" s="7">
        <v>3.0208333333333339</v>
      </c>
      <c r="AG4" s="30">
        <v>2</v>
      </c>
      <c r="AH4" s="30">
        <v>4</v>
      </c>
      <c r="AI4" s="30">
        <f t="shared" ref="AI4:AI64" si="6">AG4+AH4</f>
        <v>6</v>
      </c>
      <c r="AK4" s="14"/>
      <c r="AL4" s="17"/>
      <c r="AM4" s="3"/>
      <c r="AN4" s="4"/>
      <c r="AO4" s="3"/>
      <c r="AP4" s="17"/>
      <c r="AQ4" s="17"/>
      <c r="AR4" s="6"/>
      <c r="AS4" s="3"/>
      <c r="AT4" s="3"/>
      <c r="AU4" s="7"/>
      <c r="AV4" s="8"/>
      <c r="AW4" s="8"/>
      <c r="AX4" s="8"/>
      <c r="AZ4" s="14"/>
      <c r="BA4" s="17"/>
      <c r="BB4" s="3"/>
      <c r="BC4" s="4"/>
      <c r="BD4" s="3"/>
      <c r="BE4" s="17"/>
      <c r="BF4" s="17"/>
      <c r="BG4" s="6"/>
      <c r="BH4" s="3"/>
      <c r="BI4" s="3"/>
      <c r="BJ4" s="7"/>
      <c r="BK4" s="8"/>
      <c r="BL4" s="8"/>
      <c r="BM4" s="8"/>
      <c r="BO4" s="14"/>
      <c r="BP4" s="17"/>
      <c r="BQ4" s="3"/>
      <c r="BR4" s="4"/>
      <c r="BS4" s="3"/>
      <c r="BT4" s="17"/>
      <c r="BU4" s="17"/>
      <c r="BV4" s="6"/>
      <c r="BW4" s="3"/>
      <c r="BX4" s="3"/>
      <c r="BY4" s="7"/>
      <c r="BZ4" s="8"/>
      <c r="CA4" s="8"/>
      <c r="CB4" s="8"/>
      <c r="CD4" s="14"/>
      <c r="CE4" s="17"/>
      <c r="CF4" s="3"/>
      <c r="CG4" s="4"/>
      <c r="CH4" s="3"/>
      <c r="CI4" s="17"/>
      <c r="CJ4" s="17"/>
      <c r="CK4" s="6"/>
      <c r="CL4" s="3"/>
      <c r="CM4" s="3"/>
      <c r="CN4" s="7"/>
      <c r="CO4" s="8"/>
      <c r="CP4" s="8"/>
      <c r="CQ4" s="8"/>
      <c r="CS4" s="14"/>
      <c r="CT4" s="17"/>
      <c r="CU4" s="3"/>
      <c r="CV4" s="4"/>
      <c r="CW4" s="3"/>
      <c r="CX4" s="17"/>
      <c r="CY4" s="17"/>
      <c r="CZ4" s="6"/>
      <c r="DA4" s="3"/>
      <c r="DB4" s="3"/>
      <c r="DC4" s="7"/>
      <c r="DD4" s="8"/>
      <c r="DE4" s="8"/>
      <c r="DF4" s="8"/>
      <c r="DH4" s="14"/>
      <c r="DI4" s="17"/>
      <c r="DJ4" s="3"/>
      <c r="DK4" s="4"/>
      <c r="DL4" s="3"/>
      <c r="DM4" s="17"/>
      <c r="DN4" s="17"/>
      <c r="DO4" s="6"/>
      <c r="DP4" s="3"/>
      <c r="DQ4" s="3"/>
      <c r="DR4" s="7"/>
      <c r="DS4" s="8"/>
      <c r="DT4" s="8"/>
      <c r="DU4" s="8"/>
      <c r="DW4" s="14"/>
      <c r="DX4" s="17"/>
      <c r="DY4" s="3"/>
      <c r="DZ4" s="4"/>
      <c r="EA4" s="3"/>
      <c r="EB4" s="17"/>
      <c r="EC4" s="17"/>
      <c r="ED4" s="6"/>
      <c r="EE4" s="3"/>
      <c r="EF4" s="3"/>
      <c r="EG4" s="7"/>
      <c r="EH4" s="8"/>
      <c r="EI4" s="8"/>
      <c r="EJ4" s="8"/>
      <c r="EL4" s="14"/>
      <c r="EM4" s="17"/>
      <c r="EN4" s="3"/>
      <c r="EO4" s="4"/>
      <c r="EP4" s="3"/>
      <c r="EQ4" s="17"/>
      <c r="ER4" s="17"/>
      <c r="ES4" s="6"/>
      <c r="ET4" s="3"/>
      <c r="EU4" s="3"/>
      <c r="EV4" s="7"/>
      <c r="EW4" s="8"/>
      <c r="EX4" s="8"/>
      <c r="EY4" s="8"/>
      <c r="FA4" s="14"/>
      <c r="FB4" s="17"/>
      <c r="FC4" s="3"/>
      <c r="FD4" s="4"/>
      <c r="FE4" s="3"/>
      <c r="FF4" s="17"/>
      <c r="FG4" s="17"/>
      <c r="FH4" s="6"/>
      <c r="FI4" s="3"/>
      <c r="FJ4" s="3"/>
      <c r="FK4" s="7"/>
      <c r="FL4" s="8"/>
      <c r="FM4" s="8"/>
      <c r="FN4" s="8"/>
      <c r="FP4" s="14"/>
      <c r="FQ4" s="17"/>
      <c r="FR4" s="3"/>
      <c r="FS4" s="4"/>
      <c r="FT4" s="3"/>
      <c r="FU4" s="17"/>
      <c r="FV4" s="17"/>
      <c r="FW4" s="6"/>
      <c r="FX4" s="3"/>
      <c r="FY4" s="3"/>
      <c r="FZ4" s="7"/>
      <c r="GA4" s="8"/>
      <c r="GB4" s="8"/>
      <c r="GC4" s="8"/>
      <c r="GE4" s="14">
        <f t="shared" ref="GE4:GE64" si="7">G4+V4+AK4+AZ4+BO4+CD4+CS4+DH4+DW4+EL4+FA4+FP4</f>
        <v>3</v>
      </c>
      <c r="GF4" s="14">
        <f t="shared" ref="GF4:GF64" si="8">H4+W4+AL4+BA4+BP4+CE4+CT4+DI4+DX4+EM4+FB4+FQ4</f>
        <v>9.5061999999999998</v>
      </c>
      <c r="GG4" s="14">
        <f t="shared" ref="GG4:GG64" si="9">I4+X4+AM4+BB4+BQ4+CF4+CU4+DJ4+DY4+EN4+FC4+FR4</f>
        <v>2.6271340881387735</v>
      </c>
      <c r="GH4" s="4">
        <f t="shared" ref="GH4:GH64" si="10">IFERROR(GG4/GF4,0)</f>
        <v>0.27636006902219323</v>
      </c>
      <c r="GI4" s="3">
        <f t="shared" ref="GI4:GI64" si="11">AVERAGE(K4,Z4,AO4,BD4,BS4,CH4,CW4,DL4,EA4,EP4,FE4,FT4)</f>
        <v>156815.03606464513</v>
      </c>
      <c r="GJ4" s="3">
        <f t="shared" ref="GJ4:GJ64" si="12">AVERAGE(L4,AA4,AP4,BE4,BT4,CI4,CX4,DM4,EB4,EQ4,FF4,FU4)</f>
        <v>2.2000000000000002</v>
      </c>
      <c r="GK4" s="17">
        <f t="shared" ref="GK4:GK64" si="13">GF4/GR4*100000</f>
        <v>105624.44444444444</v>
      </c>
      <c r="GL4" s="4">
        <f t="shared" ref="GL4:GL64" si="14">GP4/GR4</f>
        <v>0.33333333333333331</v>
      </c>
      <c r="GM4" s="3" t="e">
        <f t="shared" ref="GM4:GM64" si="15">AVERAGE(O4,AD4,AS4,BH4,BW4,CL4,DA4,DP4,EE4,ET4,FI4,FX4)</f>
        <v>#DIV/0!</v>
      </c>
      <c r="GN4" s="14">
        <f t="shared" ref="GN4:GN64" si="16">P4+AE4+AT4+BI4+BX4+CM4+DB4+DQ4+EF4+EU4+FJ4+FY4</f>
        <v>7.25</v>
      </c>
      <c r="GO4" s="3">
        <f t="shared" ref="GO4:GO64" si="17">AVERAGE(Q4,AF4,AU4,BJ4,BY4,CN4,DC4,DR4,EG4,EV4,FK4,FZ4)</f>
        <v>2.0744666666666669</v>
      </c>
      <c r="GP4" s="35">
        <f t="shared" ref="GP4:GP64" si="18">R4+AG4+AV4+BK4+BZ4+CO4+DD4+DS4+EH4+EW4+FL4+GA4</f>
        <v>3</v>
      </c>
      <c r="GQ4" s="35">
        <f t="shared" ref="GQ4:GQ64" si="19">S4+AH4+AW4+BL4+CA4+CP4+DE4+DT4+EI4+EX4+FM4+GB4</f>
        <v>6</v>
      </c>
      <c r="GR4" s="35">
        <f t="shared" ref="GR4:GR64" si="20">T4+AI4+AX4+BM4+CB4+CQ4+DF4+DU4+EJ4+EY4+FN4+GC4</f>
        <v>9</v>
      </c>
    </row>
    <row r="5" spans="1:200" x14ac:dyDescent="0.35">
      <c r="A5" s="3" t="s">
        <v>7</v>
      </c>
      <c r="B5" s="2" t="s">
        <v>142</v>
      </c>
      <c r="C5" s="2" t="s">
        <v>83</v>
      </c>
      <c r="D5" s="2" t="s">
        <v>107</v>
      </c>
      <c r="E5" s="3" t="s">
        <v>2</v>
      </c>
      <c r="F5" s="18"/>
      <c r="G5" s="14">
        <v>8</v>
      </c>
      <c r="H5" s="17">
        <v>9.3010766</v>
      </c>
      <c r="I5" s="6">
        <v>4.1045349499215193</v>
      </c>
      <c r="J5" s="4">
        <f t="shared" si="0"/>
        <v>0.44129675804643081</v>
      </c>
      <c r="K5" s="3">
        <v>102698.51877625457</v>
      </c>
      <c r="L5" s="17">
        <v>5.0599999999999996</v>
      </c>
      <c r="M5" s="17">
        <f t="shared" si="1"/>
        <v>40000</v>
      </c>
      <c r="N5" s="4">
        <f t="shared" si="2"/>
        <v>0.45</v>
      </c>
      <c r="O5" s="3">
        <v>2.25</v>
      </c>
      <c r="P5" s="6"/>
      <c r="Q5" s="7">
        <v>1.8381581027667986</v>
      </c>
      <c r="R5" s="30">
        <v>9</v>
      </c>
      <c r="S5" s="30">
        <v>11</v>
      </c>
      <c r="T5" s="30">
        <f t="shared" si="3"/>
        <v>20</v>
      </c>
      <c r="V5" s="14">
        <v>8</v>
      </c>
      <c r="W5" s="17">
        <v>9.4535999999999998</v>
      </c>
      <c r="X5" s="6">
        <v>4.1690508432014086</v>
      </c>
      <c r="Y5" s="4">
        <f t="shared" si="4"/>
        <v>0.44100140086331224</v>
      </c>
      <c r="Z5" s="3">
        <v>107295.40273525222</v>
      </c>
      <c r="AA5" s="17">
        <v>5.08</v>
      </c>
      <c r="AB5" s="17">
        <v>72720</v>
      </c>
      <c r="AC5" s="4">
        <f t="shared" si="5"/>
        <v>1</v>
      </c>
      <c r="AD5" s="6">
        <v>3.25</v>
      </c>
      <c r="AE5" s="3"/>
      <c r="AF5" s="7">
        <v>1.8609448818897636</v>
      </c>
      <c r="AG5" s="30">
        <v>13</v>
      </c>
      <c r="AH5" s="30">
        <v>0</v>
      </c>
      <c r="AI5" s="30">
        <f t="shared" si="6"/>
        <v>13</v>
      </c>
      <c r="AK5" s="14"/>
      <c r="AL5" s="17"/>
      <c r="AM5" s="3"/>
      <c r="AN5" s="4"/>
      <c r="AO5" s="3"/>
      <c r="AP5" s="17"/>
      <c r="AQ5" s="17"/>
      <c r="AR5" s="6"/>
      <c r="AS5" s="3"/>
      <c r="AT5" s="3"/>
      <c r="AU5" s="7"/>
      <c r="AV5" s="8"/>
      <c r="AW5" s="8"/>
      <c r="AX5" s="8"/>
      <c r="AZ5" s="14"/>
      <c r="BA5" s="17"/>
      <c r="BB5" s="3"/>
      <c r="BC5" s="4"/>
      <c r="BD5" s="3"/>
      <c r="BE5" s="17"/>
      <c r="BF5" s="17"/>
      <c r="BG5" s="6"/>
      <c r="BH5" s="3"/>
      <c r="BI5" s="3"/>
      <c r="BJ5" s="7"/>
      <c r="BK5" s="8"/>
      <c r="BL5" s="8"/>
      <c r="BM5" s="8"/>
      <c r="BO5" s="14"/>
      <c r="BP5" s="17"/>
      <c r="BQ5" s="3"/>
      <c r="BR5" s="4"/>
      <c r="BS5" s="3"/>
      <c r="BT5" s="17"/>
      <c r="BU5" s="17"/>
      <c r="BV5" s="6"/>
      <c r="BW5" s="3"/>
      <c r="BX5" s="3"/>
      <c r="BY5" s="7"/>
      <c r="BZ5" s="8"/>
      <c r="CA5" s="8"/>
      <c r="CB5" s="8"/>
      <c r="CD5" s="14"/>
      <c r="CE5" s="17"/>
      <c r="CF5" s="3"/>
      <c r="CG5" s="4"/>
      <c r="CH5" s="3"/>
      <c r="CI5" s="17"/>
      <c r="CJ5" s="17"/>
      <c r="CK5" s="6"/>
      <c r="CL5" s="3"/>
      <c r="CM5" s="3"/>
      <c r="CN5" s="7"/>
      <c r="CO5" s="8"/>
      <c r="CP5" s="8"/>
      <c r="CQ5" s="8"/>
      <c r="CS5" s="14"/>
      <c r="CT5" s="17"/>
      <c r="CU5" s="3"/>
      <c r="CV5" s="4"/>
      <c r="CW5" s="3"/>
      <c r="CX5" s="17"/>
      <c r="CY5" s="17"/>
      <c r="CZ5" s="6"/>
      <c r="DA5" s="3"/>
      <c r="DB5" s="3"/>
      <c r="DC5" s="7"/>
      <c r="DD5" s="8"/>
      <c r="DE5" s="8"/>
      <c r="DF5" s="8"/>
      <c r="DH5" s="14"/>
      <c r="DI5" s="17"/>
      <c r="DJ5" s="3"/>
      <c r="DK5" s="4"/>
      <c r="DL5" s="3"/>
      <c r="DM5" s="17"/>
      <c r="DN5" s="17"/>
      <c r="DO5" s="6"/>
      <c r="DP5" s="3"/>
      <c r="DQ5" s="3"/>
      <c r="DR5" s="7"/>
      <c r="DS5" s="8"/>
      <c r="DT5" s="8"/>
      <c r="DU5" s="8"/>
      <c r="DW5" s="14"/>
      <c r="DX5" s="17"/>
      <c r="DY5" s="3"/>
      <c r="DZ5" s="4"/>
      <c r="EA5" s="3"/>
      <c r="EB5" s="17"/>
      <c r="EC5" s="17"/>
      <c r="ED5" s="6"/>
      <c r="EE5" s="3"/>
      <c r="EF5" s="3"/>
      <c r="EG5" s="7"/>
      <c r="EH5" s="8"/>
      <c r="EI5" s="8"/>
      <c r="EJ5" s="8"/>
      <c r="EL5" s="14"/>
      <c r="EM5" s="17"/>
      <c r="EN5" s="3"/>
      <c r="EO5" s="4"/>
      <c r="EP5" s="3"/>
      <c r="EQ5" s="17"/>
      <c r="ER5" s="17"/>
      <c r="ES5" s="6"/>
      <c r="ET5" s="3"/>
      <c r="EU5" s="3"/>
      <c r="EV5" s="7"/>
      <c r="EW5" s="8"/>
      <c r="EX5" s="8"/>
      <c r="EY5" s="8"/>
      <c r="FA5" s="14"/>
      <c r="FB5" s="17"/>
      <c r="FC5" s="3"/>
      <c r="FD5" s="4"/>
      <c r="FE5" s="3"/>
      <c r="FF5" s="17"/>
      <c r="FG5" s="17"/>
      <c r="FH5" s="6"/>
      <c r="FI5" s="3"/>
      <c r="FJ5" s="3"/>
      <c r="FK5" s="7"/>
      <c r="FL5" s="8"/>
      <c r="FM5" s="8"/>
      <c r="FN5" s="8"/>
      <c r="FP5" s="14"/>
      <c r="FQ5" s="17"/>
      <c r="FR5" s="3"/>
      <c r="FS5" s="4"/>
      <c r="FT5" s="3"/>
      <c r="FU5" s="17"/>
      <c r="FV5" s="17"/>
      <c r="FW5" s="6"/>
      <c r="FX5" s="3"/>
      <c r="FY5" s="3"/>
      <c r="FZ5" s="7"/>
      <c r="GA5" s="8"/>
      <c r="GB5" s="8"/>
      <c r="GC5" s="8"/>
      <c r="GE5" s="14">
        <f t="shared" si="7"/>
        <v>16</v>
      </c>
      <c r="GF5" s="14">
        <f t="shared" si="8"/>
        <v>18.7546766</v>
      </c>
      <c r="GG5" s="14">
        <f t="shared" si="9"/>
        <v>8.273585793122928</v>
      </c>
      <c r="GH5" s="4">
        <f t="shared" si="10"/>
        <v>0.44114787845091008</v>
      </c>
      <c r="GI5" s="3">
        <f t="shared" si="11"/>
        <v>104996.96075575339</v>
      </c>
      <c r="GJ5" s="3">
        <f t="shared" si="12"/>
        <v>5.07</v>
      </c>
      <c r="GK5" s="17">
        <f t="shared" si="13"/>
        <v>56832.353333333333</v>
      </c>
      <c r="GL5" s="4">
        <f t="shared" si="14"/>
        <v>0.66666666666666663</v>
      </c>
      <c r="GM5" s="3">
        <f t="shared" si="15"/>
        <v>2.75</v>
      </c>
      <c r="GN5" s="14">
        <f t="shared" si="16"/>
        <v>0</v>
      </c>
      <c r="GO5" s="3">
        <f t="shared" si="17"/>
        <v>1.8495514923282812</v>
      </c>
      <c r="GP5" s="35">
        <f t="shared" si="18"/>
        <v>22</v>
      </c>
      <c r="GQ5" s="35">
        <f t="shared" si="19"/>
        <v>11</v>
      </c>
      <c r="GR5" s="35">
        <f t="shared" si="20"/>
        <v>33</v>
      </c>
    </row>
    <row r="6" spans="1:200" x14ac:dyDescent="0.35">
      <c r="A6" s="3" t="s">
        <v>37</v>
      </c>
      <c r="B6" s="2" t="s">
        <v>142</v>
      </c>
      <c r="C6" s="2" t="s">
        <v>127</v>
      </c>
      <c r="D6" s="2" t="s">
        <v>107</v>
      </c>
      <c r="E6" s="3" t="s">
        <v>85</v>
      </c>
      <c r="F6" s="18"/>
      <c r="G6" s="14">
        <v>20</v>
      </c>
      <c r="H6" s="17">
        <v>26.5</v>
      </c>
      <c r="I6" s="6">
        <v>9.2139803283130277</v>
      </c>
      <c r="J6" s="4">
        <f t="shared" si="0"/>
        <v>0.3476973708797369</v>
      </c>
      <c r="K6" s="3">
        <v>109752.50585198078</v>
      </c>
      <c r="L6" s="17">
        <v>15.75</v>
      </c>
      <c r="M6" s="17">
        <f t="shared" si="1"/>
        <v>76923.076923076922</v>
      </c>
      <c r="N6" s="4">
        <f t="shared" si="2"/>
        <v>0.61538461538461542</v>
      </c>
      <c r="O6" s="3">
        <v>1.5458937198067633</v>
      </c>
      <c r="P6" s="6">
        <f>2650000/100000</f>
        <v>26.5</v>
      </c>
      <c r="Q6" s="7">
        <v>1.6825396825396826</v>
      </c>
      <c r="R6" s="30">
        <v>16</v>
      </c>
      <c r="S6" s="30">
        <v>10</v>
      </c>
      <c r="T6" s="30">
        <f t="shared" si="3"/>
        <v>26</v>
      </c>
      <c r="V6" s="14">
        <v>17</v>
      </c>
      <c r="W6" s="17">
        <v>17</v>
      </c>
      <c r="X6" s="6">
        <v>-1.971829857558671</v>
      </c>
      <c r="Y6" s="4">
        <f t="shared" si="4"/>
        <v>-0.1159899916210983</v>
      </c>
      <c r="Z6" s="3">
        <v>118667.57062958804</v>
      </c>
      <c r="AA6" s="17">
        <v>15.5</v>
      </c>
      <c r="AB6" s="17">
        <v>73913.043478260865</v>
      </c>
      <c r="AC6" s="4">
        <f t="shared" si="5"/>
        <v>0.47826086956521741</v>
      </c>
      <c r="AD6" s="6">
        <v>1.0891089108910892</v>
      </c>
      <c r="AE6" s="3">
        <v>17</v>
      </c>
      <c r="AF6" s="7">
        <v>1.096774193548387</v>
      </c>
      <c r="AG6" s="30">
        <v>11</v>
      </c>
      <c r="AH6" s="30">
        <v>12</v>
      </c>
      <c r="AI6" s="30">
        <f t="shared" si="6"/>
        <v>23</v>
      </c>
      <c r="AK6" s="14"/>
      <c r="AL6" s="17"/>
      <c r="AM6" s="3"/>
      <c r="AN6" s="4"/>
      <c r="AO6" s="3"/>
      <c r="AP6" s="17"/>
      <c r="AQ6" s="17"/>
      <c r="AR6" s="6"/>
      <c r="AS6" s="3"/>
      <c r="AT6" s="3"/>
      <c r="AU6" s="7"/>
      <c r="AV6" s="8"/>
      <c r="AW6" s="8"/>
      <c r="AX6" s="8"/>
      <c r="AZ6" s="14"/>
      <c r="BA6" s="17"/>
      <c r="BB6" s="3"/>
      <c r="BC6" s="4"/>
      <c r="BD6" s="3"/>
      <c r="BE6" s="17"/>
      <c r="BF6" s="17"/>
      <c r="BG6" s="6"/>
      <c r="BH6" s="3"/>
      <c r="BI6" s="3"/>
      <c r="BJ6" s="7"/>
      <c r="BK6" s="8"/>
      <c r="BL6" s="8"/>
      <c r="BM6" s="8"/>
      <c r="BO6" s="14"/>
      <c r="BP6" s="17"/>
      <c r="BQ6" s="3"/>
      <c r="BR6" s="4"/>
      <c r="BS6" s="3"/>
      <c r="BT6" s="17"/>
      <c r="BU6" s="17"/>
      <c r="BV6" s="6"/>
      <c r="BW6" s="3"/>
      <c r="BX6" s="3"/>
      <c r="BY6" s="7"/>
      <c r="BZ6" s="8"/>
      <c r="CA6" s="8"/>
      <c r="CB6" s="8"/>
      <c r="CD6" s="14"/>
      <c r="CE6" s="17"/>
      <c r="CF6" s="3"/>
      <c r="CG6" s="4"/>
      <c r="CH6" s="3"/>
      <c r="CI6" s="17"/>
      <c r="CJ6" s="17"/>
      <c r="CK6" s="6"/>
      <c r="CL6" s="3"/>
      <c r="CM6" s="3"/>
      <c r="CN6" s="7"/>
      <c r="CO6" s="8"/>
      <c r="CP6" s="8"/>
      <c r="CQ6" s="8"/>
      <c r="CS6" s="14"/>
      <c r="CT6" s="17"/>
      <c r="CU6" s="3"/>
      <c r="CV6" s="4"/>
      <c r="CW6" s="3"/>
      <c r="CX6" s="17"/>
      <c r="CY6" s="17"/>
      <c r="CZ6" s="6"/>
      <c r="DA6" s="3"/>
      <c r="DB6" s="3"/>
      <c r="DC6" s="7"/>
      <c r="DD6" s="8"/>
      <c r="DE6" s="8"/>
      <c r="DF6" s="8"/>
      <c r="DH6" s="14"/>
      <c r="DI6" s="17"/>
      <c r="DJ6" s="3"/>
      <c r="DK6" s="4"/>
      <c r="DL6" s="3"/>
      <c r="DM6" s="17"/>
      <c r="DN6" s="17"/>
      <c r="DO6" s="6"/>
      <c r="DP6" s="3"/>
      <c r="DQ6" s="3"/>
      <c r="DR6" s="7"/>
      <c r="DS6" s="8"/>
      <c r="DT6" s="8"/>
      <c r="DU6" s="8"/>
      <c r="DW6" s="14"/>
      <c r="DX6" s="17"/>
      <c r="DY6" s="3"/>
      <c r="DZ6" s="4"/>
      <c r="EA6" s="3"/>
      <c r="EB6" s="17"/>
      <c r="EC6" s="17"/>
      <c r="ED6" s="6"/>
      <c r="EE6" s="3"/>
      <c r="EF6" s="3"/>
      <c r="EG6" s="7"/>
      <c r="EH6" s="8"/>
      <c r="EI6" s="8"/>
      <c r="EJ6" s="8"/>
      <c r="EL6" s="14"/>
      <c r="EM6" s="17"/>
      <c r="EN6" s="3"/>
      <c r="EO6" s="4"/>
      <c r="EP6" s="3"/>
      <c r="EQ6" s="17"/>
      <c r="ER6" s="17"/>
      <c r="ES6" s="6"/>
      <c r="ET6" s="3"/>
      <c r="EU6" s="3"/>
      <c r="EV6" s="7"/>
      <c r="EW6" s="8"/>
      <c r="EX6" s="8"/>
      <c r="EY6" s="8"/>
      <c r="FA6" s="14"/>
      <c r="FB6" s="17"/>
      <c r="FC6" s="3"/>
      <c r="FD6" s="4"/>
      <c r="FE6" s="3"/>
      <c r="FF6" s="17"/>
      <c r="FG6" s="17"/>
      <c r="FH6" s="6"/>
      <c r="FI6" s="3"/>
      <c r="FJ6" s="3"/>
      <c r="FK6" s="7"/>
      <c r="FL6" s="8"/>
      <c r="FM6" s="8"/>
      <c r="FN6" s="8"/>
      <c r="FP6" s="14"/>
      <c r="FQ6" s="17"/>
      <c r="FR6" s="3"/>
      <c r="FS6" s="4"/>
      <c r="FT6" s="3"/>
      <c r="FU6" s="17"/>
      <c r="FV6" s="17"/>
      <c r="FW6" s="6"/>
      <c r="FX6" s="3"/>
      <c r="FY6" s="3"/>
      <c r="FZ6" s="7"/>
      <c r="GA6" s="8"/>
      <c r="GB6" s="8"/>
      <c r="GC6" s="8"/>
      <c r="GE6" s="14">
        <f t="shared" si="7"/>
        <v>37</v>
      </c>
      <c r="GF6" s="14">
        <f t="shared" si="8"/>
        <v>43.5</v>
      </c>
      <c r="GG6" s="14">
        <f t="shared" si="9"/>
        <v>7.2421504707543569</v>
      </c>
      <c r="GH6" s="4">
        <f t="shared" si="10"/>
        <v>0.16648621771849095</v>
      </c>
      <c r="GI6" s="3">
        <f t="shared" si="11"/>
        <v>114210.0382407844</v>
      </c>
      <c r="GJ6" s="3">
        <f t="shared" si="12"/>
        <v>15.625</v>
      </c>
      <c r="GK6" s="17">
        <f t="shared" si="13"/>
        <v>88775.510204081627</v>
      </c>
      <c r="GL6" s="4">
        <f t="shared" si="14"/>
        <v>0.55102040816326525</v>
      </c>
      <c r="GM6" s="3">
        <f t="shared" si="15"/>
        <v>1.3175013153489261</v>
      </c>
      <c r="GN6" s="14">
        <f t="shared" si="16"/>
        <v>43.5</v>
      </c>
      <c r="GO6" s="3">
        <f t="shared" si="17"/>
        <v>1.3896569380440349</v>
      </c>
      <c r="GP6" s="35">
        <f t="shared" si="18"/>
        <v>27</v>
      </c>
      <c r="GQ6" s="35">
        <f t="shared" si="19"/>
        <v>22</v>
      </c>
      <c r="GR6" s="35">
        <f t="shared" si="20"/>
        <v>49</v>
      </c>
    </row>
    <row r="7" spans="1:200" x14ac:dyDescent="0.35">
      <c r="A7" s="3" t="s">
        <v>38</v>
      </c>
      <c r="B7" s="2" t="s">
        <v>146</v>
      </c>
      <c r="C7" s="2" t="s">
        <v>151</v>
      </c>
      <c r="D7" s="2" t="s">
        <v>107</v>
      </c>
      <c r="E7" s="3" t="s">
        <v>70</v>
      </c>
      <c r="F7" s="18"/>
      <c r="G7" s="14">
        <v>8.6999999999999993</v>
      </c>
      <c r="H7" s="17">
        <v>6.1185</v>
      </c>
      <c r="I7" s="6">
        <v>-3.4272042985275428</v>
      </c>
      <c r="J7" s="4">
        <f t="shared" si="0"/>
        <v>-0.56013799109708962</v>
      </c>
      <c r="K7" s="3">
        <v>136367.2042646792</v>
      </c>
      <c r="L7" s="17">
        <v>7</v>
      </c>
      <c r="M7" s="17">
        <f t="shared" si="1"/>
        <v>86999.999999999985</v>
      </c>
      <c r="N7" s="4">
        <f t="shared" si="2"/>
        <v>0.9</v>
      </c>
      <c r="O7" s="3">
        <v>1.5</v>
      </c>
      <c r="P7" s="6">
        <f>377350/100000</f>
        <v>3.7734999999999999</v>
      </c>
      <c r="Q7" s="7">
        <v>0.8740714285714285</v>
      </c>
      <c r="R7" s="30">
        <v>9</v>
      </c>
      <c r="S7" s="30">
        <v>1</v>
      </c>
      <c r="T7" s="30">
        <f t="shared" si="3"/>
        <v>10</v>
      </c>
      <c r="V7" s="14">
        <v>9.6</v>
      </c>
      <c r="W7" s="17">
        <v>6.07</v>
      </c>
      <c r="X7" s="6">
        <v>-4.3128297446550823</v>
      </c>
      <c r="Y7" s="4">
        <f t="shared" si="4"/>
        <v>-0.71051560867464281</v>
      </c>
      <c r="Z7" s="3">
        <v>134094.49506617663</v>
      </c>
      <c r="AA7" s="17">
        <v>7.3</v>
      </c>
      <c r="AB7" s="17">
        <v>37937.5</v>
      </c>
      <c r="AC7" s="4">
        <f t="shared" si="5"/>
        <v>0.6875</v>
      </c>
      <c r="AD7" s="6">
        <v>1.8333333333333333</v>
      </c>
      <c r="AE7" s="3">
        <f>607000/100000</f>
        <v>6.07</v>
      </c>
      <c r="AF7" s="7">
        <v>0.83150684931506857</v>
      </c>
      <c r="AG7" s="30">
        <v>11</v>
      </c>
      <c r="AH7" s="30">
        <v>5</v>
      </c>
      <c r="AI7" s="30">
        <f t="shared" si="6"/>
        <v>16</v>
      </c>
      <c r="AK7" s="14"/>
      <c r="AL7" s="17"/>
      <c r="AM7" s="3"/>
      <c r="AN7" s="4"/>
      <c r="AO7" s="3"/>
      <c r="AP7" s="17"/>
      <c r="AQ7" s="17"/>
      <c r="AR7" s="6"/>
      <c r="AS7" s="3"/>
      <c r="AT7" s="3"/>
      <c r="AU7" s="7"/>
      <c r="AV7" s="8"/>
      <c r="AW7" s="8"/>
      <c r="AX7" s="8"/>
      <c r="AZ7" s="14"/>
      <c r="BA7" s="17"/>
      <c r="BB7" s="3"/>
      <c r="BC7" s="4"/>
      <c r="BD7" s="3"/>
      <c r="BE7" s="17"/>
      <c r="BF7" s="17"/>
      <c r="BG7" s="6"/>
      <c r="BH7" s="3"/>
      <c r="BI7" s="3"/>
      <c r="BJ7" s="7"/>
      <c r="BK7" s="8"/>
      <c r="BL7" s="8"/>
      <c r="BM7" s="8"/>
      <c r="BO7" s="14"/>
      <c r="BP7" s="17"/>
      <c r="BQ7" s="3"/>
      <c r="BR7" s="4"/>
      <c r="BS7" s="3"/>
      <c r="BT7" s="17"/>
      <c r="BU7" s="17"/>
      <c r="BV7" s="6"/>
      <c r="BW7" s="3"/>
      <c r="BX7" s="3"/>
      <c r="BY7" s="7"/>
      <c r="BZ7" s="8"/>
      <c r="CA7" s="8"/>
      <c r="CB7" s="8"/>
      <c r="CD7" s="14"/>
      <c r="CE7" s="17"/>
      <c r="CF7" s="3"/>
      <c r="CG7" s="4"/>
      <c r="CH7" s="3"/>
      <c r="CI7" s="17"/>
      <c r="CJ7" s="17"/>
      <c r="CK7" s="6"/>
      <c r="CL7" s="3"/>
      <c r="CM7" s="3"/>
      <c r="CN7" s="7"/>
      <c r="CO7" s="8"/>
      <c r="CP7" s="8"/>
      <c r="CQ7" s="8"/>
      <c r="CS7" s="14"/>
      <c r="CT7" s="17"/>
      <c r="CU7" s="3"/>
      <c r="CV7" s="4"/>
      <c r="CW7" s="3"/>
      <c r="CX7" s="17"/>
      <c r="CY7" s="17"/>
      <c r="CZ7" s="6"/>
      <c r="DA7" s="3"/>
      <c r="DB7" s="3"/>
      <c r="DC7" s="7"/>
      <c r="DD7" s="8"/>
      <c r="DE7" s="8"/>
      <c r="DF7" s="8"/>
      <c r="DH7" s="14"/>
      <c r="DI7" s="17"/>
      <c r="DJ7" s="3"/>
      <c r="DK7" s="4"/>
      <c r="DL7" s="3"/>
      <c r="DM7" s="17"/>
      <c r="DN7" s="17"/>
      <c r="DO7" s="6"/>
      <c r="DP7" s="3"/>
      <c r="DQ7" s="3"/>
      <c r="DR7" s="7"/>
      <c r="DS7" s="8"/>
      <c r="DT7" s="8"/>
      <c r="DU7" s="8"/>
      <c r="DW7" s="14"/>
      <c r="DX7" s="17"/>
      <c r="DY7" s="3"/>
      <c r="DZ7" s="4"/>
      <c r="EA7" s="3"/>
      <c r="EB7" s="17"/>
      <c r="EC7" s="17"/>
      <c r="ED7" s="6"/>
      <c r="EE7" s="3"/>
      <c r="EF7" s="3"/>
      <c r="EG7" s="7"/>
      <c r="EH7" s="8"/>
      <c r="EI7" s="8"/>
      <c r="EJ7" s="8"/>
      <c r="EL7" s="14"/>
      <c r="EM7" s="17"/>
      <c r="EN7" s="3"/>
      <c r="EO7" s="4"/>
      <c r="EP7" s="3"/>
      <c r="EQ7" s="17"/>
      <c r="ER7" s="17"/>
      <c r="ES7" s="6"/>
      <c r="ET7" s="3"/>
      <c r="EU7" s="3"/>
      <c r="EV7" s="7"/>
      <c r="EW7" s="8"/>
      <c r="EX7" s="8"/>
      <c r="EY7" s="8"/>
      <c r="FA7" s="14"/>
      <c r="FB7" s="17"/>
      <c r="FC7" s="3"/>
      <c r="FD7" s="4"/>
      <c r="FE7" s="3"/>
      <c r="FF7" s="17"/>
      <c r="FG7" s="17"/>
      <c r="FH7" s="6"/>
      <c r="FI7" s="3"/>
      <c r="FJ7" s="3"/>
      <c r="FK7" s="7"/>
      <c r="FL7" s="8"/>
      <c r="FM7" s="8"/>
      <c r="FN7" s="8"/>
      <c r="FP7" s="14"/>
      <c r="FQ7" s="17"/>
      <c r="FR7" s="3"/>
      <c r="FS7" s="4"/>
      <c r="FT7" s="3"/>
      <c r="FU7" s="17"/>
      <c r="FV7" s="17"/>
      <c r="FW7" s="6"/>
      <c r="FX7" s="3"/>
      <c r="FY7" s="3"/>
      <c r="FZ7" s="7"/>
      <c r="GA7" s="8"/>
      <c r="GB7" s="8"/>
      <c r="GC7" s="8"/>
      <c r="GE7" s="14">
        <f t="shared" si="7"/>
        <v>18.299999999999997</v>
      </c>
      <c r="GF7" s="14">
        <f t="shared" si="8"/>
        <v>12.188500000000001</v>
      </c>
      <c r="GG7" s="14">
        <f t="shared" si="9"/>
        <v>-7.7400340431826251</v>
      </c>
      <c r="GH7" s="4">
        <f t="shared" si="10"/>
        <v>-0.63502761153403819</v>
      </c>
      <c r="GI7" s="3">
        <f t="shared" si="11"/>
        <v>135230.84966542793</v>
      </c>
      <c r="GJ7" s="3">
        <f t="shared" si="12"/>
        <v>7.15</v>
      </c>
      <c r="GK7" s="17">
        <f t="shared" si="13"/>
        <v>46878.846153846163</v>
      </c>
      <c r="GL7" s="4">
        <f t="shared" si="14"/>
        <v>0.76923076923076927</v>
      </c>
      <c r="GM7" s="3">
        <f t="shared" si="15"/>
        <v>1.6666666666666665</v>
      </c>
      <c r="GN7" s="14">
        <f t="shared" si="16"/>
        <v>9.8435000000000006</v>
      </c>
      <c r="GO7" s="3">
        <f t="shared" si="17"/>
        <v>0.85278913894324848</v>
      </c>
      <c r="GP7" s="35">
        <f t="shared" si="18"/>
        <v>20</v>
      </c>
      <c r="GQ7" s="35">
        <f t="shared" si="19"/>
        <v>6</v>
      </c>
      <c r="GR7" s="35">
        <f t="shared" si="20"/>
        <v>26</v>
      </c>
    </row>
    <row r="8" spans="1:200" x14ac:dyDescent="0.35">
      <c r="A8" s="3" t="s">
        <v>39</v>
      </c>
      <c r="B8" s="2" t="s">
        <v>142</v>
      </c>
      <c r="C8" s="2" t="s">
        <v>127</v>
      </c>
      <c r="D8" s="2" t="s">
        <v>107</v>
      </c>
      <c r="E8" s="3" t="s">
        <v>85</v>
      </c>
      <c r="F8" s="18"/>
      <c r="G8" s="14">
        <v>11</v>
      </c>
      <c r="H8" s="17">
        <v>13.0525</v>
      </c>
      <c r="I8" s="6">
        <v>5.066057738993945</v>
      </c>
      <c r="J8" s="4">
        <f t="shared" si="0"/>
        <v>0.38812930388768013</v>
      </c>
      <c r="K8" s="3">
        <v>90755.025693250616</v>
      </c>
      <c r="L8" s="17">
        <v>8.8000000000000007</v>
      </c>
      <c r="M8" s="17">
        <f t="shared" si="1"/>
        <v>29729.72972972973</v>
      </c>
      <c r="N8" s="4">
        <f t="shared" si="2"/>
        <v>0.6216216216216216</v>
      </c>
      <c r="O8" s="3">
        <v>2.875</v>
      </c>
      <c r="P8" s="6"/>
      <c r="Q8" s="7">
        <v>1.4832386363636363</v>
      </c>
      <c r="R8" s="30">
        <v>23</v>
      </c>
      <c r="S8" s="30">
        <v>14</v>
      </c>
      <c r="T8" s="30">
        <f t="shared" si="3"/>
        <v>37</v>
      </c>
      <c r="V8" s="14">
        <v>11</v>
      </c>
      <c r="W8" s="17">
        <v>14.2</v>
      </c>
      <c r="X8" s="6">
        <v>6.3148933836470986</v>
      </c>
      <c r="Y8" s="4">
        <f t="shared" si="4"/>
        <v>0.44471080166528865</v>
      </c>
      <c r="Z8" s="3">
        <v>92168.542100779508</v>
      </c>
      <c r="AA8" s="17">
        <v>8.65</v>
      </c>
      <c r="AB8" s="17">
        <v>34634.146341463413</v>
      </c>
      <c r="AC8" s="4">
        <f t="shared" si="5"/>
        <v>0.65853658536585369</v>
      </c>
      <c r="AD8" s="6">
        <v>3.375</v>
      </c>
      <c r="AE8" s="3">
        <f>200026/100000</f>
        <v>2.0002599999999999</v>
      </c>
      <c r="AF8" s="7">
        <v>1.6416184971098264</v>
      </c>
      <c r="AG8" s="30">
        <v>27</v>
      </c>
      <c r="AH8" s="30">
        <v>14</v>
      </c>
      <c r="AI8" s="30">
        <f t="shared" si="6"/>
        <v>41</v>
      </c>
      <c r="AK8" s="14"/>
      <c r="AL8" s="17"/>
      <c r="AM8" s="3"/>
      <c r="AN8" s="4"/>
      <c r="AO8" s="3"/>
      <c r="AP8" s="17"/>
      <c r="AQ8" s="17"/>
      <c r="AR8" s="6"/>
      <c r="AS8" s="3"/>
      <c r="AT8" s="3"/>
      <c r="AU8" s="7"/>
      <c r="AV8" s="8"/>
      <c r="AW8" s="8"/>
      <c r="AX8" s="8"/>
      <c r="AZ8" s="14"/>
      <c r="BA8" s="17"/>
      <c r="BB8" s="3"/>
      <c r="BC8" s="4"/>
      <c r="BD8" s="3"/>
      <c r="BE8" s="17"/>
      <c r="BF8" s="17"/>
      <c r="BG8" s="6"/>
      <c r="BH8" s="3"/>
      <c r="BI8" s="3"/>
      <c r="BJ8" s="7"/>
      <c r="BK8" s="8"/>
      <c r="BL8" s="8"/>
      <c r="BM8" s="8"/>
      <c r="BO8" s="14"/>
      <c r="BP8" s="17"/>
      <c r="BQ8" s="3"/>
      <c r="BR8" s="4"/>
      <c r="BS8" s="3"/>
      <c r="BT8" s="17"/>
      <c r="BU8" s="17"/>
      <c r="BV8" s="6"/>
      <c r="BW8" s="3"/>
      <c r="BX8" s="3"/>
      <c r="BY8" s="7"/>
      <c r="BZ8" s="8"/>
      <c r="CA8" s="8"/>
      <c r="CB8" s="8"/>
      <c r="CD8" s="14"/>
      <c r="CE8" s="17"/>
      <c r="CF8" s="3"/>
      <c r="CG8" s="4"/>
      <c r="CH8" s="3"/>
      <c r="CI8" s="17"/>
      <c r="CJ8" s="17"/>
      <c r="CK8" s="6"/>
      <c r="CL8" s="3"/>
      <c r="CM8" s="3"/>
      <c r="CN8" s="7"/>
      <c r="CO8" s="8"/>
      <c r="CP8" s="8"/>
      <c r="CQ8" s="8"/>
      <c r="CS8" s="14"/>
      <c r="CT8" s="17"/>
      <c r="CU8" s="3"/>
      <c r="CV8" s="4"/>
      <c r="CW8" s="3"/>
      <c r="CX8" s="17"/>
      <c r="CY8" s="17"/>
      <c r="CZ8" s="6"/>
      <c r="DA8" s="3"/>
      <c r="DB8" s="3"/>
      <c r="DC8" s="7"/>
      <c r="DD8" s="8"/>
      <c r="DE8" s="8"/>
      <c r="DF8" s="8"/>
      <c r="DH8" s="14"/>
      <c r="DI8" s="17"/>
      <c r="DJ8" s="3"/>
      <c r="DK8" s="4"/>
      <c r="DL8" s="3"/>
      <c r="DM8" s="17"/>
      <c r="DN8" s="17"/>
      <c r="DO8" s="6"/>
      <c r="DP8" s="3"/>
      <c r="DQ8" s="3"/>
      <c r="DR8" s="7"/>
      <c r="DS8" s="8"/>
      <c r="DT8" s="8"/>
      <c r="DU8" s="8"/>
      <c r="DW8" s="14"/>
      <c r="DX8" s="17"/>
      <c r="DY8" s="3"/>
      <c r="DZ8" s="4"/>
      <c r="EA8" s="3"/>
      <c r="EB8" s="17"/>
      <c r="EC8" s="17"/>
      <c r="ED8" s="6"/>
      <c r="EE8" s="3"/>
      <c r="EF8" s="3"/>
      <c r="EG8" s="7"/>
      <c r="EH8" s="8"/>
      <c r="EI8" s="8"/>
      <c r="EJ8" s="8"/>
      <c r="EL8" s="14"/>
      <c r="EM8" s="17"/>
      <c r="EN8" s="3"/>
      <c r="EO8" s="4"/>
      <c r="EP8" s="3"/>
      <c r="EQ8" s="17"/>
      <c r="ER8" s="17"/>
      <c r="ES8" s="6"/>
      <c r="ET8" s="3"/>
      <c r="EU8" s="3"/>
      <c r="EV8" s="7"/>
      <c r="EW8" s="8"/>
      <c r="EX8" s="8"/>
      <c r="EY8" s="8"/>
      <c r="FA8" s="14"/>
      <c r="FB8" s="17"/>
      <c r="FC8" s="3"/>
      <c r="FD8" s="4"/>
      <c r="FE8" s="3"/>
      <c r="FF8" s="17"/>
      <c r="FG8" s="17"/>
      <c r="FH8" s="6"/>
      <c r="FI8" s="3"/>
      <c r="FJ8" s="3"/>
      <c r="FK8" s="7"/>
      <c r="FL8" s="8"/>
      <c r="FM8" s="8"/>
      <c r="FN8" s="8"/>
      <c r="FP8" s="14"/>
      <c r="FQ8" s="17"/>
      <c r="FR8" s="3"/>
      <c r="FS8" s="4"/>
      <c r="FT8" s="3"/>
      <c r="FU8" s="17"/>
      <c r="FV8" s="17"/>
      <c r="FW8" s="6"/>
      <c r="FX8" s="3"/>
      <c r="FY8" s="3"/>
      <c r="FZ8" s="7"/>
      <c r="GA8" s="8"/>
      <c r="GB8" s="8"/>
      <c r="GC8" s="8"/>
      <c r="GE8" s="14">
        <f t="shared" si="7"/>
        <v>22</v>
      </c>
      <c r="GF8" s="14">
        <f t="shared" si="8"/>
        <v>27.252499999999998</v>
      </c>
      <c r="GG8" s="14">
        <f t="shared" si="9"/>
        <v>11.380951122641044</v>
      </c>
      <c r="GH8" s="4">
        <f t="shared" si="10"/>
        <v>0.41761126952173361</v>
      </c>
      <c r="GI8" s="3">
        <f t="shared" si="11"/>
        <v>91461.783897015062</v>
      </c>
      <c r="GJ8" s="3">
        <f t="shared" si="12"/>
        <v>8.7250000000000014</v>
      </c>
      <c r="GK8" s="17">
        <f t="shared" si="13"/>
        <v>34939.102564102555</v>
      </c>
      <c r="GL8" s="4">
        <f t="shared" si="14"/>
        <v>0.64102564102564108</v>
      </c>
      <c r="GM8" s="3">
        <f t="shared" si="15"/>
        <v>3.125</v>
      </c>
      <c r="GN8" s="14">
        <f t="shared" si="16"/>
        <v>2.0002599999999999</v>
      </c>
      <c r="GO8" s="3">
        <f t="shared" si="17"/>
        <v>1.5624285667367315</v>
      </c>
      <c r="GP8" s="35">
        <f t="shared" si="18"/>
        <v>50</v>
      </c>
      <c r="GQ8" s="35">
        <f t="shared" si="19"/>
        <v>28</v>
      </c>
      <c r="GR8" s="35">
        <f t="shared" si="20"/>
        <v>78</v>
      </c>
    </row>
    <row r="9" spans="1:200" x14ac:dyDescent="0.35">
      <c r="A9" s="3" t="s">
        <v>8</v>
      </c>
      <c r="B9" s="2" t="s">
        <v>142</v>
      </c>
      <c r="C9" s="2" t="s">
        <v>83</v>
      </c>
      <c r="D9" s="2" t="s">
        <v>107</v>
      </c>
      <c r="E9" s="3" t="s">
        <v>2</v>
      </c>
      <c r="F9" s="18"/>
      <c r="G9" s="14">
        <v>17.25</v>
      </c>
      <c r="H9" s="17">
        <v>6.83</v>
      </c>
      <c r="I9" s="6">
        <v>-3.1976711336796475</v>
      </c>
      <c r="J9" s="4">
        <f t="shared" si="0"/>
        <v>-0.46818025383303769</v>
      </c>
      <c r="K9" s="3">
        <v>85633.399946026024</v>
      </c>
      <c r="L9" s="17">
        <v>11.71</v>
      </c>
      <c r="M9" s="17">
        <f t="shared" si="1"/>
        <v>35937.5</v>
      </c>
      <c r="N9" s="4">
        <f t="shared" si="2"/>
        <v>0.41666666666666669</v>
      </c>
      <c r="O9" s="3">
        <v>1.8181818181818181</v>
      </c>
      <c r="P9" s="6"/>
      <c r="Q9" s="7">
        <v>0.58326216908625106</v>
      </c>
      <c r="R9" s="30">
        <v>20</v>
      </c>
      <c r="S9" s="30">
        <v>28</v>
      </c>
      <c r="T9" s="30">
        <f t="shared" si="3"/>
        <v>48</v>
      </c>
      <c r="V9" s="14">
        <v>17.25</v>
      </c>
      <c r="W9" s="17">
        <v>9.64</v>
      </c>
      <c r="X9" s="6">
        <v>-0.11481503564104788</v>
      </c>
      <c r="Y9" s="4">
        <f t="shared" si="4"/>
        <v>-1.1910273406747704E-2</v>
      </c>
      <c r="Z9" s="3">
        <v>103114.73271558744</v>
      </c>
      <c r="AA9" s="17">
        <v>9.73</v>
      </c>
      <c r="AB9" s="17">
        <v>87636.363636363647</v>
      </c>
      <c r="AC9" s="4">
        <f t="shared" si="5"/>
        <v>1</v>
      </c>
      <c r="AD9" s="6">
        <v>1.2222222222222223</v>
      </c>
      <c r="AE9" s="3">
        <f>964000/100000</f>
        <v>9.64</v>
      </c>
      <c r="AF9" s="7">
        <v>0.99075025693730723</v>
      </c>
      <c r="AG9" s="30">
        <v>11</v>
      </c>
      <c r="AH9" s="30">
        <v>0</v>
      </c>
      <c r="AI9" s="30">
        <f t="shared" si="6"/>
        <v>11</v>
      </c>
      <c r="AK9" s="14"/>
      <c r="AL9" s="17"/>
      <c r="AM9" s="3"/>
      <c r="AN9" s="4"/>
      <c r="AO9" s="3"/>
      <c r="AP9" s="17"/>
      <c r="AQ9" s="17"/>
      <c r="AR9" s="6"/>
      <c r="AS9" s="3"/>
      <c r="AT9" s="3"/>
      <c r="AU9" s="7"/>
      <c r="AV9" s="8"/>
      <c r="AW9" s="8"/>
      <c r="AX9" s="8"/>
      <c r="AZ9" s="14"/>
      <c r="BA9" s="17"/>
      <c r="BB9" s="3"/>
      <c r="BC9" s="4"/>
      <c r="BD9" s="3"/>
      <c r="BE9" s="17"/>
      <c r="BF9" s="17"/>
      <c r="BG9" s="6"/>
      <c r="BH9" s="3"/>
      <c r="BI9" s="3"/>
      <c r="BJ9" s="7"/>
      <c r="BK9" s="8"/>
      <c r="BL9" s="8"/>
      <c r="BM9" s="8"/>
      <c r="BO9" s="14"/>
      <c r="BP9" s="17"/>
      <c r="BQ9" s="3"/>
      <c r="BR9" s="4"/>
      <c r="BS9" s="3"/>
      <c r="BT9" s="17"/>
      <c r="BU9" s="17"/>
      <c r="BV9" s="6"/>
      <c r="BW9" s="3"/>
      <c r="BX9" s="3"/>
      <c r="BY9" s="7"/>
      <c r="BZ9" s="8"/>
      <c r="CA9" s="8"/>
      <c r="CB9" s="8"/>
      <c r="CD9" s="14"/>
      <c r="CE9" s="17"/>
      <c r="CF9" s="3"/>
      <c r="CG9" s="4"/>
      <c r="CH9" s="3"/>
      <c r="CI9" s="17"/>
      <c r="CJ9" s="17"/>
      <c r="CK9" s="6"/>
      <c r="CL9" s="3"/>
      <c r="CM9" s="3"/>
      <c r="CN9" s="7"/>
      <c r="CO9" s="8"/>
      <c r="CP9" s="8"/>
      <c r="CQ9" s="8"/>
      <c r="CS9" s="14"/>
      <c r="CT9" s="17"/>
      <c r="CU9" s="3"/>
      <c r="CV9" s="4"/>
      <c r="CW9" s="3"/>
      <c r="CX9" s="17"/>
      <c r="CY9" s="17"/>
      <c r="CZ9" s="6"/>
      <c r="DA9" s="3"/>
      <c r="DB9" s="3"/>
      <c r="DC9" s="7"/>
      <c r="DD9" s="8"/>
      <c r="DE9" s="8"/>
      <c r="DF9" s="8"/>
      <c r="DH9" s="14"/>
      <c r="DI9" s="17"/>
      <c r="DJ9" s="3"/>
      <c r="DK9" s="4"/>
      <c r="DL9" s="3"/>
      <c r="DM9" s="17"/>
      <c r="DN9" s="17"/>
      <c r="DO9" s="6"/>
      <c r="DP9" s="3"/>
      <c r="DQ9" s="3"/>
      <c r="DR9" s="7"/>
      <c r="DS9" s="8"/>
      <c r="DT9" s="8"/>
      <c r="DU9" s="8"/>
      <c r="DW9" s="14"/>
      <c r="DX9" s="17"/>
      <c r="DY9" s="3"/>
      <c r="DZ9" s="4"/>
      <c r="EA9" s="3"/>
      <c r="EB9" s="17"/>
      <c r="EC9" s="17"/>
      <c r="ED9" s="6"/>
      <c r="EE9" s="3"/>
      <c r="EF9" s="3"/>
      <c r="EG9" s="7"/>
      <c r="EH9" s="8"/>
      <c r="EI9" s="8"/>
      <c r="EJ9" s="8"/>
      <c r="EL9" s="14"/>
      <c r="EM9" s="17"/>
      <c r="EN9" s="3"/>
      <c r="EO9" s="4"/>
      <c r="EP9" s="3"/>
      <c r="EQ9" s="17"/>
      <c r="ER9" s="17"/>
      <c r="ES9" s="6"/>
      <c r="ET9" s="3"/>
      <c r="EU9" s="3"/>
      <c r="EV9" s="7"/>
      <c r="EW9" s="8"/>
      <c r="EX9" s="8"/>
      <c r="EY9" s="8"/>
      <c r="FA9" s="14"/>
      <c r="FB9" s="17"/>
      <c r="FC9" s="3"/>
      <c r="FD9" s="4"/>
      <c r="FE9" s="3"/>
      <c r="FF9" s="17"/>
      <c r="FG9" s="17"/>
      <c r="FH9" s="6"/>
      <c r="FI9" s="3"/>
      <c r="FJ9" s="3"/>
      <c r="FK9" s="7"/>
      <c r="FL9" s="8"/>
      <c r="FM9" s="8"/>
      <c r="FN9" s="8"/>
      <c r="FP9" s="14"/>
      <c r="FQ9" s="17"/>
      <c r="FR9" s="3"/>
      <c r="FS9" s="4"/>
      <c r="FT9" s="3"/>
      <c r="FU9" s="17"/>
      <c r="FV9" s="17"/>
      <c r="FW9" s="6"/>
      <c r="FX9" s="3"/>
      <c r="FY9" s="3"/>
      <c r="FZ9" s="7"/>
      <c r="GA9" s="8"/>
      <c r="GB9" s="8"/>
      <c r="GC9" s="8"/>
      <c r="GE9" s="14">
        <f t="shared" si="7"/>
        <v>34.5</v>
      </c>
      <c r="GF9" s="14">
        <f t="shared" si="8"/>
        <v>16.47</v>
      </c>
      <c r="GG9" s="14">
        <f t="shared" si="9"/>
        <v>-3.3124861693206955</v>
      </c>
      <c r="GH9" s="4">
        <f t="shared" si="10"/>
        <v>-0.20112241465213695</v>
      </c>
      <c r="GI9" s="3">
        <f t="shared" si="11"/>
        <v>94374.066330806731</v>
      </c>
      <c r="GJ9" s="3">
        <f t="shared" si="12"/>
        <v>10.72</v>
      </c>
      <c r="GK9" s="17">
        <f t="shared" si="13"/>
        <v>27915.254237288133</v>
      </c>
      <c r="GL9" s="4">
        <f t="shared" si="14"/>
        <v>0.52542372881355937</v>
      </c>
      <c r="GM9" s="3">
        <f t="shared" si="15"/>
        <v>1.5202020202020203</v>
      </c>
      <c r="GN9" s="14">
        <f t="shared" si="16"/>
        <v>9.64</v>
      </c>
      <c r="GO9" s="3">
        <f t="shared" si="17"/>
        <v>0.7870062130117792</v>
      </c>
      <c r="GP9" s="35">
        <f t="shared" si="18"/>
        <v>31</v>
      </c>
      <c r="GQ9" s="35">
        <f t="shared" si="19"/>
        <v>28</v>
      </c>
      <c r="GR9" s="35">
        <f t="shared" si="20"/>
        <v>59</v>
      </c>
    </row>
    <row r="10" spans="1:200" x14ac:dyDescent="0.35">
      <c r="A10" s="3" t="s">
        <v>4</v>
      </c>
      <c r="B10" s="2" t="s">
        <v>142</v>
      </c>
      <c r="C10" s="2" t="s">
        <v>83</v>
      </c>
      <c r="D10" s="2" t="s">
        <v>107</v>
      </c>
      <c r="E10" s="3" t="s">
        <v>2</v>
      </c>
      <c r="F10" s="18"/>
      <c r="G10" s="14">
        <v>3</v>
      </c>
      <c r="H10" s="17">
        <v>2.7279200000000001</v>
      </c>
      <c r="I10" s="6">
        <v>0.18822822071903719</v>
      </c>
      <c r="J10" s="4">
        <f t="shared" si="0"/>
        <v>6.9000638112201668E-2</v>
      </c>
      <c r="K10" s="3">
        <v>123286.00870295936</v>
      </c>
      <c r="L10" s="17">
        <v>2.06</v>
      </c>
      <c r="M10" s="17">
        <f t="shared" si="1"/>
        <v>60000</v>
      </c>
      <c r="N10" s="4">
        <f t="shared" si="2"/>
        <v>0.6</v>
      </c>
      <c r="O10" s="3">
        <v>1.5</v>
      </c>
      <c r="P10" s="6"/>
      <c r="Q10" s="7">
        <v>1.324233009708738</v>
      </c>
      <c r="R10" s="30">
        <v>3</v>
      </c>
      <c r="S10" s="30">
        <v>2</v>
      </c>
      <c r="T10" s="30">
        <f t="shared" si="3"/>
        <v>5</v>
      </c>
      <c r="V10" s="14">
        <v>3</v>
      </c>
      <c r="W10" s="17">
        <v>3.9612145000000005</v>
      </c>
      <c r="X10" s="6">
        <v>1.3427814501966391</v>
      </c>
      <c r="Y10" s="4">
        <f t="shared" si="4"/>
        <v>0.3389822616767254</v>
      </c>
      <c r="Z10" s="3">
        <v>130497.71951296274</v>
      </c>
      <c r="AA10" s="17">
        <v>2.08</v>
      </c>
      <c r="AB10" s="17">
        <v>44013.494444444448</v>
      </c>
      <c r="AC10" s="4">
        <f t="shared" si="5"/>
        <v>0.44444444444444442</v>
      </c>
      <c r="AD10" s="6" t="s">
        <v>123</v>
      </c>
      <c r="AE10" s="3">
        <f>396121.45/100000</f>
        <v>3.9612145000000001</v>
      </c>
      <c r="AF10" s="7">
        <v>1.9044278846153846</v>
      </c>
      <c r="AG10" s="30">
        <v>4</v>
      </c>
      <c r="AH10" s="30">
        <v>5</v>
      </c>
      <c r="AI10" s="30">
        <f t="shared" si="6"/>
        <v>9</v>
      </c>
      <c r="AK10" s="14"/>
      <c r="AL10" s="17"/>
      <c r="AM10" s="3"/>
      <c r="AN10" s="4"/>
      <c r="AO10" s="3"/>
      <c r="AP10" s="17"/>
      <c r="AQ10" s="17"/>
      <c r="AR10" s="6"/>
      <c r="AS10" s="3"/>
      <c r="AT10" s="3"/>
      <c r="AU10" s="7"/>
      <c r="AV10" s="8"/>
      <c r="AW10" s="8"/>
      <c r="AX10" s="8"/>
      <c r="AZ10" s="14"/>
      <c r="BA10" s="17"/>
      <c r="BB10" s="3"/>
      <c r="BC10" s="4"/>
      <c r="BD10" s="3"/>
      <c r="BE10" s="17"/>
      <c r="BF10" s="17"/>
      <c r="BG10" s="6"/>
      <c r="BH10" s="3"/>
      <c r="BI10" s="3"/>
      <c r="BJ10" s="7"/>
      <c r="BK10" s="8"/>
      <c r="BL10" s="8"/>
      <c r="BM10" s="8"/>
      <c r="BO10" s="14"/>
      <c r="BP10" s="17"/>
      <c r="BQ10" s="3"/>
      <c r="BR10" s="4"/>
      <c r="BS10" s="3"/>
      <c r="BT10" s="17"/>
      <c r="BU10" s="17"/>
      <c r="BV10" s="6"/>
      <c r="BW10" s="3"/>
      <c r="BX10" s="3"/>
      <c r="BY10" s="7"/>
      <c r="BZ10" s="8"/>
      <c r="CA10" s="8"/>
      <c r="CB10" s="8"/>
      <c r="CD10" s="14"/>
      <c r="CE10" s="17"/>
      <c r="CF10" s="3"/>
      <c r="CG10" s="4"/>
      <c r="CH10" s="3"/>
      <c r="CI10" s="17"/>
      <c r="CJ10" s="17"/>
      <c r="CK10" s="6"/>
      <c r="CL10" s="3"/>
      <c r="CM10" s="3"/>
      <c r="CN10" s="7"/>
      <c r="CO10" s="8"/>
      <c r="CP10" s="8"/>
      <c r="CQ10" s="8"/>
      <c r="CS10" s="14"/>
      <c r="CT10" s="17"/>
      <c r="CU10" s="3"/>
      <c r="CV10" s="4"/>
      <c r="CW10" s="3"/>
      <c r="CX10" s="17"/>
      <c r="CY10" s="17"/>
      <c r="CZ10" s="6"/>
      <c r="DA10" s="3"/>
      <c r="DB10" s="3"/>
      <c r="DC10" s="7"/>
      <c r="DD10" s="8"/>
      <c r="DE10" s="8"/>
      <c r="DF10" s="8"/>
      <c r="DH10" s="14"/>
      <c r="DI10" s="17"/>
      <c r="DJ10" s="3"/>
      <c r="DK10" s="4"/>
      <c r="DL10" s="3"/>
      <c r="DM10" s="17"/>
      <c r="DN10" s="17"/>
      <c r="DO10" s="6"/>
      <c r="DP10" s="3"/>
      <c r="DQ10" s="3"/>
      <c r="DR10" s="7"/>
      <c r="DS10" s="8"/>
      <c r="DT10" s="8"/>
      <c r="DU10" s="8"/>
      <c r="DW10" s="14"/>
      <c r="DX10" s="17"/>
      <c r="DY10" s="3"/>
      <c r="DZ10" s="4"/>
      <c r="EA10" s="3"/>
      <c r="EB10" s="17"/>
      <c r="EC10" s="17"/>
      <c r="ED10" s="6"/>
      <c r="EE10" s="3"/>
      <c r="EF10" s="3"/>
      <c r="EG10" s="7"/>
      <c r="EH10" s="8"/>
      <c r="EI10" s="8"/>
      <c r="EJ10" s="8"/>
      <c r="EL10" s="14"/>
      <c r="EM10" s="17"/>
      <c r="EN10" s="3"/>
      <c r="EO10" s="4"/>
      <c r="EP10" s="3"/>
      <c r="EQ10" s="17"/>
      <c r="ER10" s="17"/>
      <c r="ES10" s="6"/>
      <c r="ET10" s="3"/>
      <c r="EU10" s="3"/>
      <c r="EV10" s="7"/>
      <c r="EW10" s="8"/>
      <c r="EX10" s="8"/>
      <c r="EY10" s="8"/>
      <c r="FA10" s="14"/>
      <c r="FB10" s="17"/>
      <c r="FC10" s="3"/>
      <c r="FD10" s="4"/>
      <c r="FE10" s="3"/>
      <c r="FF10" s="17"/>
      <c r="FG10" s="17"/>
      <c r="FH10" s="6"/>
      <c r="FI10" s="3"/>
      <c r="FJ10" s="3"/>
      <c r="FK10" s="7"/>
      <c r="FL10" s="8"/>
      <c r="FM10" s="8"/>
      <c r="FN10" s="8"/>
      <c r="FP10" s="14"/>
      <c r="FQ10" s="17"/>
      <c r="FR10" s="3"/>
      <c r="FS10" s="4"/>
      <c r="FT10" s="3"/>
      <c r="FU10" s="17"/>
      <c r="FV10" s="17"/>
      <c r="FW10" s="6"/>
      <c r="FX10" s="3"/>
      <c r="FY10" s="3"/>
      <c r="FZ10" s="7"/>
      <c r="GA10" s="8"/>
      <c r="GB10" s="8"/>
      <c r="GC10" s="8"/>
      <c r="GE10" s="14">
        <f t="shared" si="7"/>
        <v>6</v>
      </c>
      <c r="GF10" s="14">
        <f t="shared" si="8"/>
        <v>6.6891345000000006</v>
      </c>
      <c r="GG10" s="14">
        <f t="shared" si="9"/>
        <v>1.5310096709156762</v>
      </c>
      <c r="GH10" s="4">
        <f t="shared" si="10"/>
        <v>0.22888008469790463</v>
      </c>
      <c r="GI10" s="3">
        <f t="shared" si="11"/>
        <v>126891.86410796104</v>
      </c>
      <c r="GJ10" s="3">
        <f t="shared" si="12"/>
        <v>2.0700000000000003</v>
      </c>
      <c r="GK10" s="17">
        <f t="shared" si="13"/>
        <v>47779.532142857148</v>
      </c>
      <c r="GL10" s="4">
        <f t="shared" si="14"/>
        <v>0.5</v>
      </c>
      <c r="GM10" s="3">
        <f t="shared" si="15"/>
        <v>1.5</v>
      </c>
      <c r="GN10" s="14">
        <f t="shared" si="16"/>
        <v>3.9612145000000001</v>
      </c>
      <c r="GO10" s="3">
        <f t="shared" si="17"/>
        <v>1.6143304471620614</v>
      </c>
      <c r="GP10" s="35">
        <f t="shared" si="18"/>
        <v>7</v>
      </c>
      <c r="GQ10" s="35">
        <f t="shared" si="19"/>
        <v>7</v>
      </c>
      <c r="GR10" s="35">
        <f t="shared" si="20"/>
        <v>14</v>
      </c>
    </row>
    <row r="11" spans="1:200" x14ac:dyDescent="0.35">
      <c r="A11" s="3" t="s">
        <v>9</v>
      </c>
      <c r="B11" s="2" t="s">
        <v>142</v>
      </c>
      <c r="C11" s="2" t="s">
        <v>83</v>
      </c>
      <c r="D11" s="2" t="s">
        <v>107</v>
      </c>
      <c r="E11" s="3" t="s">
        <v>2</v>
      </c>
      <c r="F11" s="18"/>
      <c r="G11" s="14">
        <v>17.166666666666668</v>
      </c>
      <c r="H11" s="17">
        <v>12.79</v>
      </c>
      <c r="I11" s="6">
        <v>2.576876623252859</v>
      </c>
      <c r="J11" s="4">
        <f t="shared" si="0"/>
        <v>0.20147588923009063</v>
      </c>
      <c r="K11" s="3">
        <v>95360.629101280487</v>
      </c>
      <c r="L11" s="17">
        <v>10.71</v>
      </c>
      <c r="M11" s="17">
        <f t="shared" si="1"/>
        <v>31212.121212121212</v>
      </c>
      <c r="N11" s="4">
        <f t="shared" si="2"/>
        <v>0.47272727272727272</v>
      </c>
      <c r="O11" s="3">
        <v>2.736842105263158</v>
      </c>
      <c r="P11" s="6">
        <f>523500/100000</f>
        <v>5.2350000000000003</v>
      </c>
      <c r="Q11" s="7">
        <v>1.1942110177404295</v>
      </c>
      <c r="R11" s="30">
        <v>26</v>
      </c>
      <c r="S11" s="30">
        <v>29</v>
      </c>
      <c r="T11" s="30">
        <f t="shared" si="3"/>
        <v>55</v>
      </c>
      <c r="V11" s="14">
        <v>17.166666666666668</v>
      </c>
      <c r="W11" s="17">
        <v>9.2399999999999984</v>
      </c>
      <c r="X11" s="6">
        <v>-1.4411714499714232</v>
      </c>
      <c r="Y11" s="4">
        <f t="shared" si="4"/>
        <v>-0.15597093614409344</v>
      </c>
      <c r="Z11" s="3">
        <v>89763.592684973992</v>
      </c>
      <c r="AA11" s="17">
        <v>11.73</v>
      </c>
      <c r="AB11" s="17">
        <v>26399.999999999996</v>
      </c>
      <c r="AC11" s="4">
        <f t="shared" si="5"/>
        <v>0.37142857142857144</v>
      </c>
      <c r="AD11" s="6">
        <v>1.2380952380952381</v>
      </c>
      <c r="AE11" s="3">
        <f>924000/100000</f>
        <v>9.24</v>
      </c>
      <c r="AF11" s="7">
        <v>0.78772378516624042</v>
      </c>
      <c r="AG11" s="30">
        <v>13</v>
      </c>
      <c r="AH11" s="30">
        <v>22</v>
      </c>
      <c r="AI11" s="30">
        <f t="shared" si="6"/>
        <v>35</v>
      </c>
      <c r="AK11" s="14"/>
      <c r="AL11" s="17"/>
      <c r="AM11" s="3"/>
      <c r="AN11" s="4"/>
      <c r="AO11" s="3"/>
      <c r="AP11" s="17"/>
      <c r="AQ11" s="17"/>
      <c r="AR11" s="6"/>
      <c r="AS11" s="3"/>
      <c r="AT11" s="3"/>
      <c r="AU11" s="7"/>
      <c r="AV11" s="8"/>
      <c r="AW11" s="8"/>
      <c r="AX11" s="8"/>
      <c r="AZ11" s="14"/>
      <c r="BA11" s="17"/>
      <c r="BB11" s="3"/>
      <c r="BC11" s="4"/>
      <c r="BD11" s="3"/>
      <c r="BE11" s="17"/>
      <c r="BF11" s="17"/>
      <c r="BG11" s="6"/>
      <c r="BH11" s="3"/>
      <c r="BI11" s="3"/>
      <c r="BJ11" s="7"/>
      <c r="BK11" s="8"/>
      <c r="BL11" s="8"/>
      <c r="BM11" s="8"/>
      <c r="BO11" s="14"/>
      <c r="BP11" s="17"/>
      <c r="BQ11" s="3"/>
      <c r="BR11" s="4"/>
      <c r="BS11" s="3"/>
      <c r="BT11" s="17"/>
      <c r="BU11" s="17"/>
      <c r="BV11" s="6"/>
      <c r="BW11" s="3"/>
      <c r="BX11" s="3"/>
      <c r="BY11" s="7"/>
      <c r="BZ11" s="8"/>
      <c r="CA11" s="8"/>
      <c r="CB11" s="8"/>
      <c r="CD11" s="14"/>
      <c r="CE11" s="17"/>
      <c r="CF11" s="3"/>
      <c r="CG11" s="4"/>
      <c r="CH11" s="3"/>
      <c r="CI11" s="17"/>
      <c r="CJ11" s="17"/>
      <c r="CK11" s="6"/>
      <c r="CL11" s="3"/>
      <c r="CM11" s="3"/>
      <c r="CN11" s="7"/>
      <c r="CO11" s="8"/>
      <c r="CP11" s="8"/>
      <c r="CQ11" s="8"/>
      <c r="CS11" s="14"/>
      <c r="CT11" s="17"/>
      <c r="CU11" s="3"/>
      <c r="CV11" s="4"/>
      <c r="CW11" s="3"/>
      <c r="CX11" s="17"/>
      <c r="CY11" s="17"/>
      <c r="CZ11" s="6"/>
      <c r="DA11" s="3"/>
      <c r="DB11" s="3"/>
      <c r="DC11" s="7"/>
      <c r="DD11" s="8"/>
      <c r="DE11" s="8"/>
      <c r="DF11" s="8"/>
      <c r="DH11" s="14"/>
      <c r="DI11" s="17"/>
      <c r="DJ11" s="3"/>
      <c r="DK11" s="4"/>
      <c r="DL11" s="3"/>
      <c r="DM11" s="17"/>
      <c r="DN11" s="17"/>
      <c r="DO11" s="6"/>
      <c r="DP11" s="3"/>
      <c r="DQ11" s="3"/>
      <c r="DR11" s="7"/>
      <c r="DS11" s="8"/>
      <c r="DT11" s="8"/>
      <c r="DU11" s="8"/>
      <c r="DW11" s="14"/>
      <c r="DX11" s="17"/>
      <c r="DY11" s="3"/>
      <c r="DZ11" s="4"/>
      <c r="EA11" s="3"/>
      <c r="EB11" s="17"/>
      <c r="EC11" s="17"/>
      <c r="ED11" s="6"/>
      <c r="EE11" s="3"/>
      <c r="EF11" s="3"/>
      <c r="EG11" s="7"/>
      <c r="EH11" s="8"/>
      <c r="EI11" s="8"/>
      <c r="EJ11" s="8"/>
      <c r="EL11" s="14"/>
      <c r="EM11" s="17"/>
      <c r="EN11" s="3"/>
      <c r="EO11" s="4"/>
      <c r="EP11" s="3"/>
      <c r="EQ11" s="17"/>
      <c r="ER11" s="17"/>
      <c r="ES11" s="6"/>
      <c r="ET11" s="3"/>
      <c r="EU11" s="3"/>
      <c r="EV11" s="7"/>
      <c r="EW11" s="8"/>
      <c r="EX11" s="8"/>
      <c r="EY11" s="8"/>
      <c r="FA11" s="14"/>
      <c r="FB11" s="17"/>
      <c r="FC11" s="3"/>
      <c r="FD11" s="4"/>
      <c r="FE11" s="3"/>
      <c r="FF11" s="17"/>
      <c r="FG11" s="17"/>
      <c r="FH11" s="6"/>
      <c r="FI11" s="3"/>
      <c r="FJ11" s="3"/>
      <c r="FK11" s="7"/>
      <c r="FL11" s="8"/>
      <c r="FM11" s="8"/>
      <c r="FN11" s="8"/>
      <c r="FP11" s="14"/>
      <c r="FQ11" s="17"/>
      <c r="FR11" s="3"/>
      <c r="FS11" s="4"/>
      <c r="FT11" s="3"/>
      <c r="FU11" s="17"/>
      <c r="FV11" s="17"/>
      <c r="FW11" s="6"/>
      <c r="FX11" s="3"/>
      <c r="FY11" s="3"/>
      <c r="FZ11" s="7"/>
      <c r="GA11" s="8"/>
      <c r="GB11" s="8"/>
      <c r="GC11" s="8"/>
      <c r="GE11" s="14">
        <f t="shared" si="7"/>
        <v>34.333333333333336</v>
      </c>
      <c r="GF11" s="14">
        <f t="shared" si="8"/>
        <v>22.029999999999998</v>
      </c>
      <c r="GG11" s="14">
        <f t="shared" si="9"/>
        <v>1.1357051732814358</v>
      </c>
      <c r="GH11" s="4">
        <f t="shared" si="10"/>
        <v>5.1552663335516842E-2</v>
      </c>
      <c r="GI11" s="3">
        <f t="shared" si="11"/>
        <v>92562.110893127247</v>
      </c>
      <c r="GJ11" s="3">
        <f t="shared" si="12"/>
        <v>11.22</v>
      </c>
      <c r="GK11" s="17">
        <f t="shared" si="13"/>
        <v>24477.777777777777</v>
      </c>
      <c r="GL11" s="4">
        <f t="shared" si="14"/>
        <v>0.43333333333333335</v>
      </c>
      <c r="GM11" s="3">
        <f t="shared" si="15"/>
        <v>1.9874686716791981</v>
      </c>
      <c r="GN11" s="14">
        <f t="shared" si="16"/>
        <v>14.475000000000001</v>
      </c>
      <c r="GO11" s="3">
        <f t="shared" si="17"/>
        <v>0.99096740145333495</v>
      </c>
      <c r="GP11" s="35">
        <f t="shared" si="18"/>
        <v>39</v>
      </c>
      <c r="GQ11" s="35">
        <f t="shared" si="19"/>
        <v>51</v>
      </c>
      <c r="GR11" s="35">
        <f t="shared" si="20"/>
        <v>90</v>
      </c>
    </row>
    <row r="12" spans="1:200" x14ac:dyDescent="0.35">
      <c r="A12" s="3" t="s">
        <v>40</v>
      </c>
      <c r="B12" s="2" t="s">
        <v>145</v>
      </c>
      <c r="C12" s="2" t="s">
        <v>145</v>
      </c>
      <c r="D12" s="2" t="s">
        <v>107</v>
      </c>
      <c r="E12" s="3" t="s">
        <v>71</v>
      </c>
      <c r="F12" s="18"/>
      <c r="G12" s="14">
        <v>113.10139199999999</v>
      </c>
      <c r="H12" s="17">
        <v>181.56917999999999</v>
      </c>
      <c r="I12" s="6">
        <v>109.71782602287166</v>
      </c>
      <c r="J12" s="4">
        <f t="shared" si="0"/>
        <v>0.60427560460906238</v>
      </c>
      <c r="K12" s="3">
        <v>132079.69481089769</v>
      </c>
      <c r="L12" s="17">
        <v>54.4</v>
      </c>
      <c r="M12" s="17">
        <f t="shared" si="1"/>
        <v>34169.604833836856</v>
      </c>
      <c r="N12" s="4">
        <f t="shared" si="2"/>
        <v>0.81873111782477337</v>
      </c>
      <c r="O12" s="3">
        <v>7.2459893048128343</v>
      </c>
      <c r="P12" s="6"/>
      <c r="Q12" s="7">
        <v>3.3376687500000002</v>
      </c>
      <c r="R12" s="30">
        <v>271</v>
      </c>
      <c r="S12" s="30">
        <v>60</v>
      </c>
      <c r="T12" s="30">
        <f t="shared" si="3"/>
        <v>331</v>
      </c>
      <c r="V12" s="14">
        <v>113.10139199999999</v>
      </c>
      <c r="W12" s="17">
        <v>145</v>
      </c>
      <c r="X12" s="6">
        <v>70.5294270264895</v>
      </c>
      <c r="Y12" s="4">
        <f t="shared" si="4"/>
        <v>0.48640984156199657</v>
      </c>
      <c r="Z12" s="3">
        <v>134763.86381192616</v>
      </c>
      <c r="AA12" s="17">
        <v>56.4</v>
      </c>
      <c r="AB12" s="17">
        <v>62770.562770562763</v>
      </c>
      <c r="AC12" s="4">
        <f t="shared" si="5"/>
        <v>0.65800865800865804</v>
      </c>
      <c r="AD12" s="6">
        <v>3.7623762376237626</v>
      </c>
      <c r="AE12" s="3"/>
      <c r="AF12" s="7">
        <v>2.5709219858156027</v>
      </c>
      <c r="AG12" s="30">
        <v>152</v>
      </c>
      <c r="AH12" s="30">
        <v>79</v>
      </c>
      <c r="AI12" s="30">
        <f t="shared" si="6"/>
        <v>231</v>
      </c>
      <c r="AK12" s="14"/>
      <c r="AL12" s="17"/>
      <c r="AM12" s="3"/>
      <c r="AN12" s="4"/>
      <c r="AO12" s="3"/>
      <c r="AP12" s="17"/>
      <c r="AQ12" s="17"/>
      <c r="AR12" s="6"/>
      <c r="AS12" s="3"/>
      <c r="AT12" s="3"/>
      <c r="AU12" s="7"/>
      <c r="AV12" s="8"/>
      <c r="AW12" s="8"/>
      <c r="AX12" s="8"/>
      <c r="AZ12" s="14"/>
      <c r="BA12" s="17"/>
      <c r="BB12" s="3"/>
      <c r="BC12" s="4"/>
      <c r="BD12" s="3"/>
      <c r="BE12" s="17"/>
      <c r="BF12" s="17"/>
      <c r="BG12" s="6"/>
      <c r="BH12" s="3"/>
      <c r="BI12" s="3"/>
      <c r="BJ12" s="7"/>
      <c r="BK12" s="8"/>
      <c r="BL12" s="8"/>
      <c r="BM12" s="8"/>
      <c r="BO12" s="14"/>
      <c r="BP12" s="17"/>
      <c r="BQ12" s="3"/>
      <c r="BR12" s="4"/>
      <c r="BS12" s="3"/>
      <c r="BT12" s="17"/>
      <c r="BU12" s="17"/>
      <c r="BV12" s="6"/>
      <c r="BW12" s="3"/>
      <c r="BX12" s="3"/>
      <c r="BY12" s="7"/>
      <c r="BZ12" s="8"/>
      <c r="CA12" s="8"/>
      <c r="CB12" s="8"/>
      <c r="CD12" s="14"/>
      <c r="CE12" s="17"/>
      <c r="CF12" s="3"/>
      <c r="CG12" s="4"/>
      <c r="CH12" s="3"/>
      <c r="CI12" s="17"/>
      <c r="CJ12" s="17"/>
      <c r="CK12" s="6"/>
      <c r="CL12" s="3"/>
      <c r="CM12" s="3"/>
      <c r="CN12" s="7"/>
      <c r="CO12" s="8"/>
      <c r="CP12" s="8"/>
      <c r="CQ12" s="8"/>
      <c r="CS12" s="14"/>
      <c r="CT12" s="17"/>
      <c r="CU12" s="3"/>
      <c r="CV12" s="4"/>
      <c r="CW12" s="3"/>
      <c r="CX12" s="17"/>
      <c r="CY12" s="17"/>
      <c r="CZ12" s="6"/>
      <c r="DA12" s="3"/>
      <c r="DB12" s="3"/>
      <c r="DC12" s="7"/>
      <c r="DD12" s="8"/>
      <c r="DE12" s="8"/>
      <c r="DF12" s="8"/>
      <c r="DH12" s="14"/>
      <c r="DI12" s="17"/>
      <c r="DJ12" s="3"/>
      <c r="DK12" s="4"/>
      <c r="DL12" s="3"/>
      <c r="DM12" s="17"/>
      <c r="DN12" s="17"/>
      <c r="DO12" s="6"/>
      <c r="DP12" s="3"/>
      <c r="DQ12" s="3"/>
      <c r="DR12" s="7"/>
      <c r="DS12" s="8"/>
      <c r="DT12" s="8"/>
      <c r="DU12" s="8"/>
      <c r="DW12" s="14"/>
      <c r="DX12" s="17"/>
      <c r="DY12" s="3"/>
      <c r="DZ12" s="4"/>
      <c r="EA12" s="3"/>
      <c r="EB12" s="17"/>
      <c r="EC12" s="17"/>
      <c r="ED12" s="6"/>
      <c r="EE12" s="3"/>
      <c r="EF12" s="3"/>
      <c r="EG12" s="7"/>
      <c r="EH12" s="8"/>
      <c r="EI12" s="8"/>
      <c r="EJ12" s="8"/>
      <c r="EL12" s="14"/>
      <c r="EM12" s="17"/>
      <c r="EN12" s="3"/>
      <c r="EO12" s="4"/>
      <c r="EP12" s="3"/>
      <c r="EQ12" s="17"/>
      <c r="ER12" s="17"/>
      <c r="ES12" s="6"/>
      <c r="ET12" s="3"/>
      <c r="EU12" s="3"/>
      <c r="EV12" s="7"/>
      <c r="EW12" s="8"/>
      <c r="EX12" s="8"/>
      <c r="EY12" s="8"/>
      <c r="FA12" s="14"/>
      <c r="FB12" s="17"/>
      <c r="FC12" s="3"/>
      <c r="FD12" s="4"/>
      <c r="FE12" s="3"/>
      <c r="FF12" s="17"/>
      <c r="FG12" s="17"/>
      <c r="FH12" s="6"/>
      <c r="FI12" s="3"/>
      <c r="FJ12" s="3"/>
      <c r="FK12" s="7"/>
      <c r="FL12" s="8"/>
      <c r="FM12" s="8"/>
      <c r="FN12" s="8"/>
      <c r="FP12" s="14"/>
      <c r="FQ12" s="17"/>
      <c r="FR12" s="3"/>
      <c r="FS12" s="4"/>
      <c r="FT12" s="3"/>
      <c r="FU12" s="17"/>
      <c r="FV12" s="17"/>
      <c r="FW12" s="6"/>
      <c r="FX12" s="3"/>
      <c r="FY12" s="3"/>
      <c r="FZ12" s="7"/>
      <c r="GA12" s="8"/>
      <c r="GB12" s="8"/>
      <c r="GC12" s="8"/>
      <c r="GE12" s="14">
        <f t="shared" si="7"/>
        <v>226.20278399999998</v>
      </c>
      <c r="GF12" s="14">
        <f t="shared" si="8"/>
        <v>326.56917999999996</v>
      </c>
      <c r="GG12" s="14">
        <f t="shared" si="9"/>
        <v>180.24725304936118</v>
      </c>
      <c r="GH12" s="4">
        <f t="shared" si="10"/>
        <v>0.55194202052184227</v>
      </c>
      <c r="GI12" s="3">
        <f t="shared" si="11"/>
        <v>133421.77931141193</v>
      </c>
      <c r="GJ12" s="3">
        <f t="shared" si="12"/>
        <v>55.4</v>
      </c>
      <c r="GK12" s="17">
        <f t="shared" si="13"/>
        <v>58108.395017793591</v>
      </c>
      <c r="GL12" s="4">
        <f t="shared" si="14"/>
        <v>0.75266903914590744</v>
      </c>
      <c r="GM12" s="3">
        <f t="shared" si="15"/>
        <v>5.5041827712182982</v>
      </c>
      <c r="GN12" s="14">
        <f t="shared" si="16"/>
        <v>0</v>
      </c>
      <c r="GO12" s="3">
        <f t="shared" si="17"/>
        <v>2.9542953679078012</v>
      </c>
      <c r="GP12" s="35">
        <f t="shared" si="18"/>
        <v>423</v>
      </c>
      <c r="GQ12" s="35">
        <f t="shared" si="19"/>
        <v>139</v>
      </c>
      <c r="GR12" s="35">
        <f t="shared" si="20"/>
        <v>562</v>
      </c>
    </row>
    <row r="13" spans="1:200" x14ac:dyDescent="0.35">
      <c r="A13" s="3" t="s">
        <v>41</v>
      </c>
      <c r="B13" s="2" t="s">
        <v>146</v>
      </c>
      <c r="C13" s="2" t="s">
        <v>154</v>
      </c>
      <c r="D13" s="2" t="s">
        <v>107</v>
      </c>
      <c r="E13" s="3" t="s">
        <v>70</v>
      </c>
      <c r="F13" s="18"/>
      <c r="G13" s="14">
        <v>9</v>
      </c>
      <c r="H13" s="17">
        <v>3.7850000000000001</v>
      </c>
      <c r="I13" s="6">
        <v>-0.78399265133581331</v>
      </c>
      <c r="J13" s="4">
        <f t="shared" si="0"/>
        <v>-0.2071314798773615</v>
      </c>
      <c r="K13" s="3">
        <v>195256.09621093221</v>
      </c>
      <c r="L13" s="17">
        <v>2.34</v>
      </c>
      <c r="M13" s="17">
        <f t="shared" si="1"/>
        <v>225000</v>
      </c>
      <c r="N13" s="4">
        <f t="shared" si="2"/>
        <v>1</v>
      </c>
      <c r="O13" s="3">
        <v>4</v>
      </c>
      <c r="P13" s="6"/>
      <c r="Q13" s="7">
        <v>1.6175213675213675</v>
      </c>
      <c r="R13" s="30">
        <v>4</v>
      </c>
      <c r="S13" s="30">
        <v>0</v>
      </c>
      <c r="T13" s="30">
        <f t="shared" si="3"/>
        <v>4</v>
      </c>
      <c r="V13" s="14">
        <v>9</v>
      </c>
      <c r="W13" s="17">
        <v>2.6549999999999998</v>
      </c>
      <c r="X13" s="6">
        <v>-2.250365826052203</v>
      </c>
      <c r="Y13" s="4">
        <f t="shared" si="4"/>
        <v>-0.84759541470892774</v>
      </c>
      <c r="Z13" s="3">
        <v>191623.93454545454</v>
      </c>
      <c r="AA13" s="17">
        <v>2.5</v>
      </c>
      <c r="AB13" s="17">
        <v>88499.999999999985</v>
      </c>
      <c r="AC13" s="4">
        <f t="shared" si="5"/>
        <v>0.33333333333333331</v>
      </c>
      <c r="AD13" s="6">
        <v>1</v>
      </c>
      <c r="AE13" s="3"/>
      <c r="AF13" s="7">
        <v>1.0620000000000001</v>
      </c>
      <c r="AG13" s="30">
        <v>1</v>
      </c>
      <c r="AH13" s="30">
        <v>2</v>
      </c>
      <c r="AI13" s="30">
        <f t="shared" si="6"/>
        <v>3</v>
      </c>
      <c r="AK13" s="14"/>
      <c r="AL13" s="17"/>
      <c r="AM13" s="3"/>
      <c r="AN13" s="4"/>
      <c r="AO13" s="3"/>
      <c r="AP13" s="17"/>
      <c r="AQ13" s="17"/>
      <c r="AR13" s="6"/>
      <c r="AS13" s="3"/>
      <c r="AT13" s="3"/>
      <c r="AU13" s="7"/>
      <c r="AV13" s="8"/>
      <c r="AW13" s="8"/>
      <c r="AX13" s="8"/>
      <c r="AZ13" s="14"/>
      <c r="BA13" s="17"/>
      <c r="BB13" s="3"/>
      <c r="BC13" s="4"/>
      <c r="BD13" s="3"/>
      <c r="BE13" s="17"/>
      <c r="BF13" s="17"/>
      <c r="BG13" s="6"/>
      <c r="BH13" s="3"/>
      <c r="BI13" s="3"/>
      <c r="BJ13" s="7"/>
      <c r="BK13" s="8"/>
      <c r="BL13" s="8"/>
      <c r="BM13" s="8"/>
      <c r="BO13" s="14"/>
      <c r="BP13" s="17"/>
      <c r="BQ13" s="3"/>
      <c r="BR13" s="4"/>
      <c r="BS13" s="3"/>
      <c r="BT13" s="17"/>
      <c r="BU13" s="17"/>
      <c r="BV13" s="6"/>
      <c r="BW13" s="3"/>
      <c r="BX13" s="3"/>
      <c r="BY13" s="7"/>
      <c r="BZ13" s="8"/>
      <c r="CA13" s="8"/>
      <c r="CB13" s="8"/>
      <c r="CD13" s="14"/>
      <c r="CE13" s="17"/>
      <c r="CF13" s="3"/>
      <c r="CG13" s="4"/>
      <c r="CH13" s="3"/>
      <c r="CI13" s="17"/>
      <c r="CJ13" s="17"/>
      <c r="CK13" s="6"/>
      <c r="CL13" s="3"/>
      <c r="CM13" s="3"/>
      <c r="CN13" s="7"/>
      <c r="CO13" s="8"/>
      <c r="CP13" s="8"/>
      <c r="CQ13" s="8"/>
      <c r="CS13" s="14"/>
      <c r="CT13" s="17"/>
      <c r="CU13" s="3"/>
      <c r="CV13" s="4"/>
      <c r="CW13" s="3"/>
      <c r="CX13" s="17"/>
      <c r="CY13" s="17"/>
      <c r="CZ13" s="6"/>
      <c r="DA13" s="3"/>
      <c r="DB13" s="3"/>
      <c r="DC13" s="7"/>
      <c r="DD13" s="8"/>
      <c r="DE13" s="8"/>
      <c r="DF13" s="8"/>
      <c r="DH13" s="14"/>
      <c r="DI13" s="17"/>
      <c r="DJ13" s="3"/>
      <c r="DK13" s="4"/>
      <c r="DL13" s="3"/>
      <c r="DM13" s="17"/>
      <c r="DN13" s="17"/>
      <c r="DO13" s="6"/>
      <c r="DP13" s="3"/>
      <c r="DQ13" s="3"/>
      <c r="DR13" s="7"/>
      <c r="DS13" s="8"/>
      <c r="DT13" s="8"/>
      <c r="DU13" s="8"/>
      <c r="DW13" s="14"/>
      <c r="DX13" s="17"/>
      <c r="DY13" s="3"/>
      <c r="DZ13" s="4"/>
      <c r="EA13" s="3"/>
      <c r="EB13" s="17"/>
      <c r="EC13" s="17"/>
      <c r="ED13" s="6"/>
      <c r="EE13" s="3"/>
      <c r="EF13" s="3"/>
      <c r="EG13" s="7"/>
      <c r="EH13" s="8"/>
      <c r="EI13" s="8"/>
      <c r="EJ13" s="8"/>
      <c r="EL13" s="14"/>
      <c r="EM13" s="17"/>
      <c r="EN13" s="3"/>
      <c r="EO13" s="4"/>
      <c r="EP13" s="3"/>
      <c r="EQ13" s="17"/>
      <c r="ER13" s="17"/>
      <c r="ES13" s="6"/>
      <c r="ET13" s="3"/>
      <c r="EU13" s="3"/>
      <c r="EV13" s="7"/>
      <c r="EW13" s="8"/>
      <c r="EX13" s="8"/>
      <c r="EY13" s="8"/>
      <c r="FA13" s="14"/>
      <c r="FB13" s="17"/>
      <c r="FC13" s="3"/>
      <c r="FD13" s="4"/>
      <c r="FE13" s="3"/>
      <c r="FF13" s="17"/>
      <c r="FG13" s="17"/>
      <c r="FH13" s="6"/>
      <c r="FI13" s="3"/>
      <c r="FJ13" s="3"/>
      <c r="FK13" s="7"/>
      <c r="FL13" s="8"/>
      <c r="FM13" s="8"/>
      <c r="FN13" s="8"/>
      <c r="FP13" s="14"/>
      <c r="FQ13" s="17"/>
      <c r="FR13" s="3"/>
      <c r="FS13" s="4"/>
      <c r="FT13" s="3"/>
      <c r="FU13" s="17"/>
      <c r="FV13" s="17"/>
      <c r="FW13" s="6"/>
      <c r="FX13" s="3"/>
      <c r="FY13" s="3"/>
      <c r="FZ13" s="7"/>
      <c r="GA13" s="8"/>
      <c r="GB13" s="8"/>
      <c r="GC13" s="8"/>
      <c r="GE13" s="14">
        <f t="shared" si="7"/>
        <v>18</v>
      </c>
      <c r="GF13" s="14">
        <f t="shared" si="8"/>
        <v>6.4399999999999995</v>
      </c>
      <c r="GG13" s="14">
        <f t="shared" si="9"/>
        <v>-3.0343584773880163</v>
      </c>
      <c r="GH13" s="4">
        <f t="shared" si="10"/>
        <v>-0.47117367661304604</v>
      </c>
      <c r="GI13" s="3">
        <f t="shared" si="11"/>
        <v>193440.01537819338</v>
      </c>
      <c r="GJ13" s="3">
        <f t="shared" si="12"/>
        <v>2.42</v>
      </c>
      <c r="GK13" s="17">
        <f t="shared" si="13"/>
        <v>92000</v>
      </c>
      <c r="GL13" s="4">
        <f t="shared" si="14"/>
        <v>0.7142857142857143</v>
      </c>
      <c r="GM13" s="3">
        <f t="shared" si="15"/>
        <v>2.5</v>
      </c>
      <c r="GN13" s="14">
        <f t="shared" si="16"/>
        <v>0</v>
      </c>
      <c r="GO13" s="3">
        <f t="shared" si="17"/>
        <v>1.3397606837606837</v>
      </c>
      <c r="GP13" s="35">
        <f t="shared" si="18"/>
        <v>5</v>
      </c>
      <c r="GQ13" s="35">
        <f t="shared" si="19"/>
        <v>2</v>
      </c>
      <c r="GR13" s="35">
        <f t="shared" si="20"/>
        <v>7</v>
      </c>
    </row>
    <row r="14" spans="1:200" x14ac:dyDescent="0.35">
      <c r="A14" s="3" t="s">
        <v>13</v>
      </c>
      <c r="B14" s="2" t="s">
        <v>142</v>
      </c>
      <c r="C14" s="2" t="s">
        <v>83</v>
      </c>
      <c r="D14" s="2" t="s">
        <v>107</v>
      </c>
      <c r="E14" s="3" t="s">
        <v>2</v>
      </c>
      <c r="F14" s="18"/>
      <c r="G14" s="14">
        <v>0</v>
      </c>
      <c r="H14" s="17">
        <v>0.9</v>
      </c>
      <c r="I14" s="6">
        <v>-3.5863128070109873</v>
      </c>
      <c r="J14" s="4">
        <f t="shared" si="0"/>
        <v>-3.9847920077899857</v>
      </c>
      <c r="K14" s="3">
        <v>74031.564472128506</v>
      </c>
      <c r="L14" s="17">
        <v>6.06</v>
      </c>
      <c r="M14" s="17">
        <f t="shared" si="1"/>
        <v>0</v>
      </c>
      <c r="N14" s="4">
        <f t="shared" si="2"/>
        <v>1</v>
      </c>
      <c r="O14" s="3">
        <v>1</v>
      </c>
      <c r="P14" s="6"/>
      <c r="Q14" s="7">
        <v>0.14851485148514851</v>
      </c>
      <c r="R14" s="30">
        <v>5</v>
      </c>
      <c r="S14" s="30">
        <v>0</v>
      </c>
      <c r="T14" s="30">
        <f t="shared" si="3"/>
        <v>5</v>
      </c>
      <c r="V14" s="14">
        <v>0</v>
      </c>
      <c r="W14" s="17">
        <v>0</v>
      </c>
      <c r="X14" s="6">
        <v>-4.3026052099652592</v>
      </c>
      <c r="Y14" s="4">
        <f t="shared" si="4"/>
        <v>0</v>
      </c>
      <c r="Z14" s="3">
        <v>75154.196038425347</v>
      </c>
      <c r="AA14" s="17">
        <v>5.0299999999999994</v>
      </c>
      <c r="AB14" s="17"/>
      <c r="AC14" s="4">
        <f t="shared" si="5"/>
        <v>0</v>
      </c>
      <c r="AD14" s="6">
        <v>0</v>
      </c>
      <c r="AE14" s="3"/>
      <c r="AF14" s="7">
        <v>0</v>
      </c>
      <c r="AG14" s="30">
        <v>0</v>
      </c>
      <c r="AH14" s="30">
        <v>0</v>
      </c>
      <c r="AI14" s="30">
        <f t="shared" si="6"/>
        <v>0</v>
      </c>
      <c r="AK14" s="14"/>
      <c r="AL14" s="17"/>
      <c r="AM14" s="3"/>
      <c r="AN14" s="4"/>
      <c r="AO14" s="3"/>
      <c r="AP14" s="17"/>
      <c r="AQ14" s="17"/>
      <c r="AR14" s="6"/>
      <c r="AS14" s="3"/>
      <c r="AT14" s="3"/>
      <c r="AU14" s="7"/>
      <c r="AV14" s="8"/>
      <c r="AW14" s="8"/>
      <c r="AX14" s="8"/>
      <c r="AZ14" s="14"/>
      <c r="BA14" s="17"/>
      <c r="BB14" s="3"/>
      <c r="BC14" s="4"/>
      <c r="BD14" s="3"/>
      <c r="BE14" s="17"/>
      <c r="BF14" s="17"/>
      <c r="BG14" s="6"/>
      <c r="BH14" s="3"/>
      <c r="BI14" s="3"/>
      <c r="BJ14" s="7"/>
      <c r="BK14" s="8"/>
      <c r="BL14" s="8"/>
      <c r="BM14" s="8"/>
      <c r="BO14" s="14"/>
      <c r="BP14" s="17"/>
      <c r="BQ14" s="3"/>
      <c r="BR14" s="4"/>
      <c r="BS14" s="3"/>
      <c r="BT14" s="17"/>
      <c r="BU14" s="17"/>
      <c r="BV14" s="6"/>
      <c r="BW14" s="3"/>
      <c r="BX14" s="3"/>
      <c r="BY14" s="7"/>
      <c r="BZ14" s="8"/>
      <c r="CA14" s="8"/>
      <c r="CB14" s="8"/>
      <c r="CD14" s="14"/>
      <c r="CE14" s="17"/>
      <c r="CF14" s="3"/>
      <c r="CG14" s="4"/>
      <c r="CH14" s="3"/>
      <c r="CI14" s="17"/>
      <c r="CJ14" s="17"/>
      <c r="CK14" s="6"/>
      <c r="CL14" s="3"/>
      <c r="CM14" s="3"/>
      <c r="CN14" s="7"/>
      <c r="CO14" s="8"/>
      <c r="CP14" s="8"/>
      <c r="CQ14" s="8"/>
      <c r="CS14" s="14"/>
      <c r="CT14" s="17"/>
      <c r="CU14" s="3"/>
      <c r="CV14" s="4"/>
      <c r="CW14" s="3"/>
      <c r="CX14" s="17"/>
      <c r="CY14" s="17"/>
      <c r="CZ14" s="6"/>
      <c r="DA14" s="3"/>
      <c r="DB14" s="3"/>
      <c r="DC14" s="7"/>
      <c r="DD14" s="8"/>
      <c r="DE14" s="8"/>
      <c r="DF14" s="8"/>
      <c r="DH14" s="14"/>
      <c r="DI14" s="17"/>
      <c r="DJ14" s="3"/>
      <c r="DK14" s="4"/>
      <c r="DL14" s="3"/>
      <c r="DM14" s="17"/>
      <c r="DN14" s="17"/>
      <c r="DO14" s="6"/>
      <c r="DP14" s="3"/>
      <c r="DQ14" s="3"/>
      <c r="DR14" s="7"/>
      <c r="DS14" s="8"/>
      <c r="DT14" s="8"/>
      <c r="DU14" s="8"/>
      <c r="DW14" s="14"/>
      <c r="DX14" s="17"/>
      <c r="DY14" s="3"/>
      <c r="DZ14" s="4"/>
      <c r="EA14" s="3"/>
      <c r="EB14" s="17"/>
      <c r="EC14" s="17"/>
      <c r="ED14" s="6"/>
      <c r="EE14" s="3"/>
      <c r="EF14" s="3"/>
      <c r="EG14" s="7"/>
      <c r="EH14" s="8"/>
      <c r="EI14" s="8"/>
      <c r="EJ14" s="8"/>
      <c r="EL14" s="14"/>
      <c r="EM14" s="17"/>
      <c r="EN14" s="3"/>
      <c r="EO14" s="4"/>
      <c r="EP14" s="3"/>
      <c r="EQ14" s="17"/>
      <c r="ER14" s="17"/>
      <c r="ES14" s="6"/>
      <c r="ET14" s="3"/>
      <c r="EU14" s="3"/>
      <c r="EV14" s="7"/>
      <c r="EW14" s="8"/>
      <c r="EX14" s="8"/>
      <c r="EY14" s="8"/>
      <c r="FA14" s="14"/>
      <c r="FB14" s="17"/>
      <c r="FC14" s="3"/>
      <c r="FD14" s="4"/>
      <c r="FE14" s="3"/>
      <c r="FF14" s="17"/>
      <c r="FG14" s="17"/>
      <c r="FH14" s="6"/>
      <c r="FI14" s="3"/>
      <c r="FJ14" s="3"/>
      <c r="FK14" s="7"/>
      <c r="FL14" s="8"/>
      <c r="FM14" s="8"/>
      <c r="FN14" s="8"/>
      <c r="FP14" s="14"/>
      <c r="FQ14" s="17"/>
      <c r="FR14" s="3"/>
      <c r="FS14" s="4"/>
      <c r="FT14" s="3"/>
      <c r="FU14" s="17"/>
      <c r="FV14" s="17"/>
      <c r="FW14" s="6"/>
      <c r="FX14" s="3"/>
      <c r="FY14" s="3"/>
      <c r="FZ14" s="7"/>
      <c r="GA14" s="8"/>
      <c r="GB14" s="8"/>
      <c r="GC14" s="8"/>
      <c r="GE14" s="14">
        <f t="shared" si="7"/>
        <v>0</v>
      </c>
      <c r="GF14" s="14">
        <f t="shared" si="8"/>
        <v>0.9</v>
      </c>
      <c r="GG14" s="14">
        <f t="shared" si="9"/>
        <v>-7.8889180169762465</v>
      </c>
      <c r="GH14" s="4">
        <f t="shared" si="10"/>
        <v>-8.765464463306941</v>
      </c>
      <c r="GI14" s="3">
        <f t="shared" si="11"/>
        <v>74592.880255276919</v>
      </c>
      <c r="GJ14" s="3">
        <f t="shared" si="12"/>
        <v>5.5449999999999999</v>
      </c>
      <c r="GK14" s="17">
        <f t="shared" si="13"/>
        <v>18000</v>
      </c>
      <c r="GL14" s="4">
        <f t="shared" si="14"/>
        <v>1</v>
      </c>
      <c r="GM14" s="3">
        <f t="shared" si="15"/>
        <v>0.5</v>
      </c>
      <c r="GN14" s="14">
        <f t="shared" si="16"/>
        <v>0</v>
      </c>
      <c r="GO14" s="3">
        <f t="shared" si="17"/>
        <v>7.4257425742574254E-2</v>
      </c>
      <c r="GP14" s="35">
        <f t="shared" si="18"/>
        <v>5</v>
      </c>
      <c r="GQ14" s="35">
        <f t="shared" si="19"/>
        <v>0</v>
      </c>
      <c r="GR14" s="35">
        <f t="shared" si="20"/>
        <v>5</v>
      </c>
    </row>
    <row r="15" spans="1:200" x14ac:dyDescent="0.35">
      <c r="A15" s="3" t="s">
        <v>23</v>
      </c>
      <c r="B15" s="2" t="s">
        <v>142</v>
      </c>
      <c r="C15" s="2" t="s">
        <v>84</v>
      </c>
      <c r="D15" s="2" t="s">
        <v>107</v>
      </c>
      <c r="E15" s="3" t="s">
        <v>2</v>
      </c>
      <c r="F15" s="18"/>
      <c r="G15" s="14">
        <v>0</v>
      </c>
      <c r="H15" s="17">
        <v>0</v>
      </c>
      <c r="I15" s="6">
        <v>0</v>
      </c>
      <c r="J15" s="4">
        <f t="shared" si="0"/>
        <v>0</v>
      </c>
      <c r="K15" s="3">
        <v>0</v>
      </c>
      <c r="L15" s="17">
        <v>0</v>
      </c>
      <c r="M15" s="17">
        <f t="shared" si="1"/>
        <v>0</v>
      </c>
      <c r="N15" s="4">
        <f t="shared" si="2"/>
        <v>0</v>
      </c>
      <c r="O15" s="3"/>
      <c r="P15" s="6"/>
      <c r="Q15" s="7"/>
      <c r="R15" s="30">
        <v>0</v>
      </c>
      <c r="S15" s="30">
        <v>0</v>
      </c>
      <c r="T15" s="30">
        <f t="shared" si="3"/>
        <v>0</v>
      </c>
      <c r="V15" s="14">
        <v>0</v>
      </c>
      <c r="W15" s="17">
        <v>0</v>
      </c>
      <c r="X15" s="6">
        <v>0</v>
      </c>
      <c r="Y15" s="4">
        <f t="shared" si="4"/>
        <v>0</v>
      </c>
      <c r="Z15" s="3"/>
      <c r="AA15" s="17">
        <v>0</v>
      </c>
      <c r="AB15" s="17"/>
      <c r="AC15" s="4">
        <f t="shared" si="5"/>
        <v>0</v>
      </c>
      <c r="AD15" s="6"/>
      <c r="AE15" s="3"/>
      <c r="AF15" s="7">
        <v>0</v>
      </c>
      <c r="AG15" s="30"/>
      <c r="AH15" s="30">
        <v>0</v>
      </c>
      <c r="AI15" s="30">
        <f t="shared" si="6"/>
        <v>0</v>
      </c>
      <c r="AK15" s="14"/>
      <c r="AL15" s="17"/>
      <c r="AM15" s="3"/>
      <c r="AN15" s="4"/>
      <c r="AO15" s="3"/>
      <c r="AP15" s="17"/>
      <c r="AQ15" s="17"/>
      <c r="AR15" s="6"/>
      <c r="AS15" s="3"/>
      <c r="AT15" s="3"/>
      <c r="AU15" s="7"/>
      <c r="AV15" s="8"/>
      <c r="AW15" s="8"/>
      <c r="AX15" s="8"/>
      <c r="AZ15" s="14"/>
      <c r="BA15" s="17"/>
      <c r="BB15" s="3"/>
      <c r="BC15" s="4"/>
      <c r="BD15" s="3"/>
      <c r="BE15" s="17"/>
      <c r="BF15" s="17"/>
      <c r="BG15" s="6"/>
      <c r="BH15" s="3"/>
      <c r="BI15" s="3"/>
      <c r="BJ15" s="7"/>
      <c r="BK15" s="8"/>
      <c r="BL15" s="8"/>
      <c r="BM15" s="8"/>
      <c r="BO15" s="14"/>
      <c r="BP15" s="17"/>
      <c r="BQ15" s="3"/>
      <c r="BR15" s="4"/>
      <c r="BS15" s="3"/>
      <c r="BT15" s="17"/>
      <c r="BU15" s="17"/>
      <c r="BV15" s="6"/>
      <c r="BW15" s="3"/>
      <c r="BX15" s="3"/>
      <c r="BY15" s="7"/>
      <c r="BZ15" s="8"/>
      <c r="CA15" s="8"/>
      <c r="CB15" s="8"/>
      <c r="CD15" s="14"/>
      <c r="CE15" s="17"/>
      <c r="CF15" s="3"/>
      <c r="CG15" s="4"/>
      <c r="CH15" s="3"/>
      <c r="CI15" s="17"/>
      <c r="CJ15" s="17"/>
      <c r="CK15" s="6"/>
      <c r="CL15" s="3"/>
      <c r="CM15" s="3"/>
      <c r="CN15" s="7"/>
      <c r="CO15" s="8"/>
      <c r="CP15" s="8"/>
      <c r="CQ15" s="8"/>
      <c r="CS15" s="14"/>
      <c r="CT15" s="17"/>
      <c r="CU15" s="3"/>
      <c r="CV15" s="4"/>
      <c r="CW15" s="3"/>
      <c r="CX15" s="17"/>
      <c r="CY15" s="17"/>
      <c r="CZ15" s="6"/>
      <c r="DA15" s="3"/>
      <c r="DB15" s="3"/>
      <c r="DC15" s="7"/>
      <c r="DD15" s="8"/>
      <c r="DE15" s="8"/>
      <c r="DF15" s="8"/>
      <c r="DH15" s="14"/>
      <c r="DI15" s="17"/>
      <c r="DJ15" s="3"/>
      <c r="DK15" s="4"/>
      <c r="DL15" s="3"/>
      <c r="DM15" s="17"/>
      <c r="DN15" s="17"/>
      <c r="DO15" s="6"/>
      <c r="DP15" s="3"/>
      <c r="DQ15" s="3"/>
      <c r="DR15" s="7"/>
      <c r="DS15" s="8"/>
      <c r="DT15" s="8"/>
      <c r="DU15" s="8"/>
      <c r="DW15" s="14"/>
      <c r="DX15" s="17"/>
      <c r="DY15" s="3"/>
      <c r="DZ15" s="4"/>
      <c r="EA15" s="3"/>
      <c r="EB15" s="17"/>
      <c r="EC15" s="17"/>
      <c r="ED15" s="6"/>
      <c r="EE15" s="3"/>
      <c r="EF15" s="3"/>
      <c r="EG15" s="7"/>
      <c r="EH15" s="8"/>
      <c r="EI15" s="8"/>
      <c r="EJ15" s="8"/>
      <c r="EL15" s="14"/>
      <c r="EM15" s="17"/>
      <c r="EN15" s="3"/>
      <c r="EO15" s="4"/>
      <c r="EP15" s="3"/>
      <c r="EQ15" s="17"/>
      <c r="ER15" s="17"/>
      <c r="ES15" s="6"/>
      <c r="ET15" s="3"/>
      <c r="EU15" s="3"/>
      <c r="EV15" s="7"/>
      <c r="EW15" s="8"/>
      <c r="EX15" s="8"/>
      <c r="EY15" s="8"/>
      <c r="FA15" s="14"/>
      <c r="FB15" s="17"/>
      <c r="FC15" s="3"/>
      <c r="FD15" s="4"/>
      <c r="FE15" s="3"/>
      <c r="FF15" s="17"/>
      <c r="FG15" s="17"/>
      <c r="FH15" s="6"/>
      <c r="FI15" s="3"/>
      <c r="FJ15" s="3"/>
      <c r="FK15" s="7"/>
      <c r="FL15" s="8"/>
      <c r="FM15" s="8"/>
      <c r="FN15" s="8"/>
      <c r="FP15" s="14"/>
      <c r="FQ15" s="17"/>
      <c r="FR15" s="3"/>
      <c r="FS15" s="4"/>
      <c r="FT15" s="3"/>
      <c r="FU15" s="17"/>
      <c r="FV15" s="17"/>
      <c r="FW15" s="6"/>
      <c r="FX15" s="3"/>
      <c r="FY15" s="3"/>
      <c r="FZ15" s="7"/>
      <c r="GA15" s="8"/>
      <c r="GB15" s="8"/>
      <c r="GC15" s="8"/>
      <c r="GE15" s="14">
        <f t="shared" si="7"/>
        <v>0</v>
      </c>
      <c r="GF15" s="14">
        <f t="shared" si="8"/>
        <v>0</v>
      </c>
      <c r="GG15" s="14">
        <f t="shared" si="9"/>
        <v>0</v>
      </c>
      <c r="GH15" s="4">
        <f t="shared" si="10"/>
        <v>0</v>
      </c>
      <c r="GI15" s="3">
        <f t="shared" si="11"/>
        <v>0</v>
      </c>
      <c r="GJ15" s="3">
        <f t="shared" si="12"/>
        <v>0</v>
      </c>
      <c r="GK15" s="17" t="e">
        <f t="shared" si="13"/>
        <v>#DIV/0!</v>
      </c>
      <c r="GL15" s="4" t="e">
        <f t="shared" si="14"/>
        <v>#DIV/0!</v>
      </c>
      <c r="GM15" s="3" t="e">
        <f t="shared" si="15"/>
        <v>#DIV/0!</v>
      </c>
      <c r="GN15" s="14">
        <f t="shared" si="16"/>
        <v>0</v>
      </c>
      <c r="GO15" s="3">
        <f t="shared" si="17"/>
        <v>0</v>
      </c>
      <c r="GP15" s="35">
        <f t="shared" si="18"/>
        <v>0</v>
      </c>
      <c r="GQ15" s="35">
        <f t="shared" si="19"/>
        <v>0</v>
      </c>
      <c r="GR15" s="35">
        <f t="shared" si="20"/>
        <v>0</v>
      </c>
    </row>
    <row r="16" spans="1:200" x14ac:dyDescent="0.35">
      <c r="A16" s="3" t="s">
        <v>42</v>
      </c>
      <c r="B16" s="2" t="s">
        <v>146</v>
      </c>
      <c r="C16" s="2" t="s">
        <v>150</v>
      </c>
      <c r="D16" s="2" t="s">
        <v>107</v>
      </c>
      <c r="E16" s="3" t="s">
        <v>70</v>
      </c>
      <c r="F16" s="18"/>
      <c r="G16" s="14">
        <v>3</v>
      </c>
      <c r="H16" s="17">
        <v>4.5916899999999998</v>
      </c>
      <c r="I16" s="6">
        <v>1.3254878507362287</v>
      </c>
      <c r="J16" s="4">
        <f t="shared" si="0"/>
        <v>0.28867102324769939</v>
      </c>
      <c r="K16" s="3">
        <v>93320.061407536341</v>
      </c>
      <c r="L16" s="17">
        <v>3.5</v>
      </c>
      <c r="M16" s="17">
        <f t="shared" si="1"/>
        <v>23076.923076923078</v>
      </c>
      <c r="N16" s="4">
        <f t="shared" si="2"/>
        <v>1</v>
      </c>
      <c r="O16" s="3">
        <v>6.5</v>
      </c>
      <c r="P16" s="6"/>
      <c r="Q16" s="7">
        <v>1.3119114285714286</v>
      </c>
      <c r="R16" s="30">
        <v>13</v>
      </c>
      <c r="S16" s="30">
        <v>0</v>
      </c>
      <c r="T16" s="30">
        <f t="shared" si="3"/>
        <v>13</v>
      </c>
      <c r="V16" s="14">
        <v>4</v>
      </c>
      <c r="W16" s="17">
        <v>4.6281699999999999</v>
      </c>
      <c r="X16" s="6">
        <v>1.3872276251722315</v>
      </c>
      <c r="Y16" s="4">
        <f t="shared" si="4"/>
        <v>0.29973566769851401</v>
      </c>
      <c r="Z16" s="3">
        <v>93752.796436039644</v>
      </c>
      <c r="AA16" s="17">
        <v>3.5</v>
      </c>
      <c r="AB16" s="17">
        <v>30854.466666666664</v>
      </c>
      <c r="AC16" s="4">
        <f t="shared" si="5"/>
        <v>1</v>
      </c>
      <c r="AD16" s="6">
        <v>7.5</v>
      </c>
      <c r="AE16" s="3"/>
      <c r="AF16" s="7">
        <v>1.3223342857142859</v>
      </c>
      <c r="AG16" s="30">
        <v>15</v>
      </c>
      <c r="AH16" s="30">
        <v>0</v>
      </c>
      <c r="AI16" s="30">
        <f t="shared" si="6"/>
        <v>15</v>
      </c>
      <c r="AK16" s="14"/>
      <c r="AL16" s="17"/>
      <c r="AM16" s="3"/>
      <c r="AN16" s="4"/>
      <c r="AO16" s="3"/>
      <c r="AP16" s="17"/>
      <c r="AQ16" s="17"/>
      <c r="AR16" s="6"/>
      <c r="AS16" s="3"/>
      <c r="AT16" s="3"/>
      <c r="AU16" s="7"/>
      <c r="AV16" s="8"/>
      <c r="AW16" s="8"/>
      <c r="AX16" s="8"/>
      <c r="AZ16" s="14"/>
      <c r="BA16" s="17"/>
      <c r="BB16" s="3"/>
      <c r="BC16" s="4"/>
      <c r="BD16" s="3"/>
      <c r="BE16" s="17"/>
      <c r="BF16" s="17"/>
      <c r="BG16" s="6"/>
      <c r="BH16" s="3"/>
      <c r="BI16" s="3"/>
      <c r="BJ16" s="7"/>
      <c r="BK16" s="8"/>
      <c r="BL16" s="8"/>
      <c r="BM16" s="8"/>
      <c r="BO16" s="14"/>
      <c r="BP16" s="17"/>
      <c r="BQ16" s="3"/>
      <c r="BR16" s="4"/>
      <c r="BS16" s="3"/>
      <c r="BT16" s="17"/>
      <c r="BU16" s="17"/>
      <c r="BV16" s="6"/>
      <c r="BW16" s="3"/>
      <c r="BX16" s="3"/>
      <c r="BY16" s="7"/>
      <c r="BZ16" s="8"/>
      <c r="CA16" s="8"/>
      <c r="CB16" s="8"/>
      <c r="CD16" s="14"/>
      <c r="CE16" s="17"/>
      <c r="CF16" s="3"/>
      <c r="CG16" s="4"/>
      <c r="CH16" s="3"/>
      <c r="CI16" s="17"/>
      <c r="CJ16" s="17"/>
      <c r="CK16" s="6"/>
      <c r="CL16" s="3"/>
      <c r="CM16" s="3"/>
      <c r="CN16" s="7"/>
      <c r="CO16" s="8"/>
      <c r="CP16" s="8"/>
      <c r="CQ16" s="8"/>
      <c r="CS16" s="14"/>
      <c r="CT16" s="17"/>
      <c r="CU16" s="3"/>
      <c r="CV16" s="4"/>
      <c r="CW16" s="3"/>
      <c r="CX16" s="17"/>
      <c r="CY16" s="17"/>
      <c r="CZ16" s="6"/>
      <c r="DA16" s="3"/>
      <c r="DB16" s="3"/>
      <c r="DC16" s="7"/>
      <c r="DD16" s="8"/>
      <c r="DE16" s="8"/>
      <c r="DF16" s="8"/>
      <c r="DH16" s="14"/>
      <c r="DI16" s="17"/>
      <c r="DJ16" s="3"/>
      <c r="DK16" s="4"/>
      <c r="DL16" s="3"/>
      <c r="DM16" s="17"/>
      <c r="DN16" s="17"/>
      <c r="DO16" s="6"/>
      <c r="DP16" s="3"/>
      <c r="DQ16" s="3"/>
      <c r="DR16" s="7"/>
      <c r="DS16" s="8"/>
      <c r="DT16" s="8"/>
      <c r="DU16" s="8"/>
      <c r="DW16" s="14"/>
      <c r="DX16" s="17"/>
      <c r="DY16" s="3"/>
      <c r="DZ16" s="4"/>
      <c r="EA16" s="3"/>
      <c r="EB16" s="17"/>
      <c r="EC16" s="17"/>
      <c r="ED16" s="6"/>
      <c r="EE16" s="3"/>
      <c r="EF16" s="3"/>
      <c r="EG16" s="7"/>
      <c r="EH16" s="8"/>
      <c r="EI16" s="8"/>
      <c r="EJ16" s="8"/>
      <c r="EL16" s="14"/>
      <c r="EM16" s="17"/>
      <c r="EN16" s="3"/>
      <c r="EO16" s="4"/>
      <c r="EP16" s="3"/>
      <c r="EQ16" s="17"/>
      <c r="ER16" s="17"/>
      <c r="ES16" s="6"/>
      <c r="ET16" s="3"/>
      <c r="EU16" s="3"/>
      <c r="EV16" s="7"/>
      <c r="EW16" s="8"/>
      <c r="EX16" s="8"/>
      <c r="EY16" s="8"/>
      <c r="FA16" s="14"/>
      <c r="FB16" s="17"/>
      <c r="FC16" s="3"/>
      <c r="FD16" s="4"/>
      <c r="FE16" s="3"/>
      <c r="FF16" s="17"/>
      <c r="FG16" s="17"/>
      <c r="FH16" s="6"/>
      <c r="FI16" s="3"/>
      <c r="FJ16" s="3"/>
      <c r="FK16" s="7"/>
      <c r="FL16" s="8"/>
      <c r="FM16" s="8"/>
      <c r="FN16" s="8"/>
      <c r="FP16" s="14"/>
      <c r="FQ16" s="17"/>
      <c r="FR16" s="3"/>
      <c r="FS16" s="4"/>
      <c r="FT16" s="3"/>
      <c r="FU16" s="17"/>
      <c r="FV16" s="17"/>
      <c r="FW16" s="6"/>
      <c r="FX16" s="3"/>
      <c r="FY16" s="3"/>
      <c r="FZ16" s="7"/>
      <c r="GA16" s="8"/>
      <c r="GB16" s="8"/>
      <c r="GC16" s="8"/>
      <c r="GE16" s="14">
        <f t="shared" si="7"/>
        <v>7</v>
      </c>
      <c r="GF16" s="14">
        <f t="shared" si="8"/>
        <v>9.2198600000000006</v>
      </c>
      <c r="GG16" s="14">
        <f t="shared" si="9"/>
        <v>2.7127154759084604</v>
      </c>
      <c r="GH16" s="4">
        <f t="shared" si="10"/>
        <v>0.29422523508040904</v>
      </c>
      <c r="GI16" s="3">
        <f t="shared" si="11"/>
        <v>93536.428921788</v>
      </c>
      <c r="GJ16" s="3">
        <f t="shared" si="12"/>
        <v>3.5</v>
      </c>
      <c r="GK16" s="17">
        <f t="shared" si="13"/>
        <v>32928.071428571435</v>
      </c>
      <c r="GL16" s="4">
        <f t="shared" si="14"/>
        <v>1</v>
      </c>
      <c r="GM16" s="3">
        <f t="shared" si="15"/>
        <v>7</v>
      </c>
      <c r="GN16" s="14">
        <f t="shared" si="16"/>
        <v>0</v>
      </c>
      <c r="GO16" s="3">
        <f t="shared" si="17"/>
        <v>1.3171228571428573</v>
      </c>
      <c r="GP16" s="35">
        <f t="shared" si="18"/>
        <v>28</v>
      </c>
      <c r="GQ16" s="35">
        <f t="shared" si="19"/>
        <v>0</v>
      </c>
      <c r="GR16" s="35">
        <f t="shared" si="20"/>
        <v>28</v>
      </c>
    </row>
    <row r="17" spans="1:200" x14ac:dyDescent="0.35">
      <c r="A17" s="3" t="s">
        <v>10</v>
      </c>
      <c r="B17" s="2" t="s">
        <v>142</v>
      </c>
      <c r="C17" s="2" t="s">
        <v>153</v>
      </c>
      <c r="D17" s="2" t="s">
        <v>107</v>
      </c>
      <c r="E17" s="3" t="s">
        <v>2</v>
      </c>
      <c r="F17" s="18"/>
      <c r="G17" s="14">
        <v>105</v>
      </c>
      <c r="H17" s="17">
        <v>119.60778230000001</v>
      </c>
      <c r="I17" s="6">
        <v>41.378723591075563</v>
      </c>
      <c r="J17" s="4">
        <f t="shared" si="0"/>
        <v>0.34595343877616197</v>
      </c>
      <c r="K17" s="3">
        <v>99705.654357538151</v>
      </c>
      <c r="L17" s="17">
        <v>78.460000000000008</v>
      </c>
      <c r="M17" s="17">
        <f t="shared" si="1"/>
        <v>41832.669322709167</v>
      </c>
      <c r="N17" s="4">
        <f t="shared" si="2"/>
        <v>0.55776892430278879</v>
      </c>
      <c r="O17" s="3">
        <v>2.0588235294117645</v>
      </c>
      <c r="P17" s="6"/>
      <c r="Q17" s="7">
        <v>1.5244427733877133</v>
      </c>
      <c r="R17" s="30">
        <v>140</v>
      </c>
      <c r="S17" s="30">
        <v>111</v>
      </c>
      <c r="T17" s="30">
        <f t="shared" si="3"/>
        <v>251</v>
      </c>
      <c r="V17" s="14">
        <v>100</v>
      </c>
      <c r="W17" s="17">
        <v>104.80007999999999</v>
      </c>
      <c r="X17" s="6">
        <v>22.820749045722955</v>
      </c>
      <c r="Y17" s="4">
        <f t="shared" si="4"/>
        <v>0.2177550727606597</v>
      </c>
      <c r="Z17" s="3">
        <v>101789.35212759412</v>
      </c>
      <c r="AA17" s="17">
        <v>81.7</v>
      </c>
      <c r="AB17" s="17">
        <v>44978.575107296136</v>
      </c>
      <c r="AC17" s="4">
        <f t="shared" si="5"/>
        <v>0.50643776824034337</v>
      </c>
      <c r="AD17" s="6">
        <v>1.6619718309859155</v>
      </c>
      <c r="AE17" s="3"/>
      <c r="AF17" s="7">
        <v>1.2827427172582619</v>
      </c>
      <c r="AG17" s="30">
        <v>118</v>
      </c>
      <c r="AH17" s="30">
        <v>115</v>
      </c>
      <c r="AI17" s="30">
        <f t="shared" si="6"/>
        <v>233</v>
      </c>
      <c r="AK17" s="14"/>
      <c r="AL17" s="17"/>
      <c r="AM17" s="3"/>
      <c r="AN17" s="4"/>
      <c r="AO17" s="3"/>
      <c r="AP17" s="17"/>
      <c r="AQ17" s="17"/>
      <c r="AR17" s="6"/>
      <c r="AS17" s="3"/>
      <c r="AT17" s="3"/>
      <c r="AU17" s="7"/>
      <c r="AV17" s="8"/>
      <c r="AW17" s="8"/>
      <c r="AX17" s="8"/>
      <c r="AZ17" s="14"/>
      <c r="BA17" s="17"/>
      <c r="BB17" s="3"/>
      <c r="BC17" s="4"/>
      <c r="BD17" s="3"/>
      <c r="BE17" s="17"/>
      <c r="BF17" s="17"/>
      <c r="BG17" s="6"/>
      <c r="BH17" s="3"/>
      <c r="BI17" s="3"/>
      <c r="BJ17" s="7"/>
      <c r="BK17" s="8"/>
      <c r="BL17" s="8"/>
      <c r="BM17" s="8"/>
      <c r="BO17" s="14"/>
      <c r="BP17" s="17"/>
      <c r="BQ17" s="3"/>
      <c r="BR17" s="4"/>
      <c r="BS17" s="3"/>
      <c r="BT17" s="17"/>
      <c r="BU17" s="17"/>
      <c r="BV17" s="6"/>
      <c r="BW17" s="3"/>
      <c r="BX17" s="3"/>
      <c r="BY17" s="7"/>
      <c r="BZ17" s="8"/>
      <c r="CA17" s="8"/>
      <c r="CB17" s="8"/>
      <c r="CD17" s="14"/>
      <c r="CE17" s="17"/>
      <c r="CF17" s="3"/>
      <c r="CG17" s="4"/>
      <c r="CH17" s="3"/>
      <c r="CI17" s="17"/>
      <c r="CJ17" s="17"/>
      <c r="CK17" s="6"/>
      <c r="CL17" s="3"/>
      <c r="CM17" s="3"/>
      <c r="CN17" s="7"/>
      <c r="CO17" s="8"/>
      <c r="CP17" s="8"/>
      <c r="CQ17" s="8"/>
      <c r="CS17" s="14"/>
      <c r="CT17" s="17"/>
      <c r="CU17" s="3"/>
      <c r="CV17" s="4"/>
      <c r="CW17" s="3"/>
      <c r="CX17" s="17"/>
      <c r="CY17" s="17"/>
      <c r="CZ17" s="6"/>
      <c r="DA17" s="3"/>
      <c r="DB17" s="3"/>
      <c r="DC17" s="7"/>
      <c r="DD17" s="8"/>
      <c r="DE17" s="8"/>
      <c r="DF17" s="8"/>
      <c r="DH17" s="14"/>
      <c r="DI17" s="17"/>
      <c r="DJ17" s="3"/>
      <c r="DK17" s="4"/>
      <c r="DL17" s="3"/>
      <c r="DM17" s="17"/>
      <c r="DN17" s="17"/>
      <c r="DO17" s="6"/>
      <c r="DP17" s="3"/>
      <c r="DQ17" s="3"/>
      <c r="DR17" s="7"/>
      <c r="DS17" s="8"/>
      <c r="DT17" s="8"/>
      <c r="DU17" s="8"/>
      <c r="DW17" s="14"/>
      <c r="DX17" s="17"/>
      <c r="DY17" s="3"/>
      <c r="DZ17" s="4"/>
      <c r="EA17" s="3"/>
      <c r="EB17" s="17"/>
      <c r="EC17" s="17"/>
      <c r="ED17" s="6"/>
      <c r="EE17" s="3"/>
      <c r="EF17" s="3"/>
      <c r="EG17" s="7"/>
      <c r="EH17" s="8"/>
      <c r="EI17" s="8"/>
      <c r="EJ17" s="8"/>
      <c r="EL17" s="14"/>
      <c r="EM17" s="17"/>
      <c r="EN17" s="3"/>
      <c r="EO17" s="4"/>
      <c r="EP17" s="3"/>
      <c r="EQ17" s="17"/>
      <c r="ER17" s="17"/>
      <c r="ES17" s="6"/>
      <c r="ET17" s="3"/>
      <c r="EU17" s="3"/>
      <c r="EV17" s="7"/>
      <c r="EW17" s="8"/>
      <c r="EX17" s="8"/>
      <c r="EY17" s="8"/>
      <c r="FA17" s="14"/>
      <c r="FB17" s="17"/>
      <c r="FC17" s="3"/>
      <c r="FD17" s="4"/>
      <c r="FE17" s="3"/>
      <c r="FF17" s="17"/>
      <c r="FG17" s="17"/>
      <c r="FH17" s="6"/>
      <c r="FI17" s="3"/>
      <c r="FJ17" s="3"/>
      <c r="FK17" s="7"/>
      <c r="FL17" s="8"/>
      <c r="FM17" s="8"/>
      <c r="FN17" s="8"/>
      <c r="FP17" s="14"/>
      <c r="FQ17" s="17"/>
      <c r="FR17" s="3"/>
      <c r="FS17" s="4"/>
      <c r="FT17" s="3"/>
      <c r="FU17" s="17"/>
      <c r="FV17" s="17"/>
      <c r="FW17" s="6"/>
      <c r="FX17" s="3"/>
      <c r="FY17" s="3"/>
      <c r="FZ17" s="7"/>
      <c r="GA17" s="8"/>
      <c r="GB17" s="8"/>
      <c r="GC17" s="8"/>
      <c r="GE17" s="14">
        <f t="shared" si="7"/>
        <v>205</v>
      </c>
      <c r="GF17" s="14">
        <f t="shared" si="8"/>
        <v>224.40786230000001</v>
      </c>
      <c r="GG17" s="14">
        <f t="shared" si="9"/>
        <v>64.199472636798518</v>
      </c>
      <c r="GH17" s="4">
        <f t="shared" si="10"/>
        <v>0.28608388306365734</v>
      </c>
      <c r="GI17" s="3">
        <f t="shared" si="11"/>
        <v>100747.50324256613</v>
      </c>
      <c r="GJ17" s="3">
        <f t="shared" si="12"/>
        <v>80.080000000000013</v>
      </c>
      <c r="GK17" s="17">
        <f t="shared" si="13"/>
        <v>46365.260805785125</v>
      </c>
      <c r="GL17" s="4">
        <f t="shared" si="14"/>
        <v>0.53305785123966942</v>
      </c>
      <c r="GM17" s="3">
        <f t="shared" si="15"/>
        <v>1.86039768019884</v>
      </c>
      <c r="GN17" s="14">
        <f t="shared" si="16"/>
        <v>0</v>
      </c>
      <c r="GO17" s="3">
        <f t="shared" si="17"/>
        <v>1.4035927453229875</v>
      </c>
      <c r="GP17" s="35">
        <f t="shared" si="18"/>
        <v>258</v>
      </c>
      <c r="GQ17" s="35">
        <f t="shared" si="19"/>
        <v>226</v>
      </c>
      <c r="GR17" s="35">
        <f t="shared" si="20"/>
        <v>484</v>
      </c>
    </row>
    <row r="18" spans="1:200" x14ac:dyDescent="0.35">
      <c r="A18" s="3" t="s">
        <v>20</v>
      </c>
      <c r="B18" s="2" t="s">
        <v>142</v>
      </c>
      <c r="C18" s="2" t="s">
        <v>84</v>
      </c>
      <c r="D18" s="2" t="s">
        <v>107</v>
      </c>
      <c r="E18" s="3" t="s">
        <v>2</v>
      </c>
      <c r="F18" s="18"/>
      <c r="G18" s="14">
        <v>20</v>
      </c>
      <c r="H18" s="17">
        <v>6.1910834999999995</v>
      </c>
      <c r="I18" s="6">
        <v>-6.0196553262575678</v>
      </c>
      <c r="J18" s="4">
        <f t="shared" si="0"/>
        <v>-0.97231047299839657</v>
      </c>
      <c r="K18" s="3">
        <v>111006.6847841597</v>
      </c>
      <c r="L18" s="17">
        <v>11</v>
      </c>
      <c r="M18" s="17">
        <f t="shared" si="1"/>
        <v>222222.22222222222</v>
      </c>
      <c r="N18" s="4">
        <f t="shared" si="2"/>
        <v>0.22222222222222221</v>
      </c>
      <c r="O18" s="3">
        <v>0.5</v>
      </c>
      <c r="P18" s="6"/>
      <c r="Q18" s="7">
        <v>0.56282545454545452</v>
      </c>
      <c r="R18" s="30">
        <v>2</v>
      </c>
      <c r="S18" s="30">
        <v>7</v>
      </c>
      <c r="T18" s="30">
        <f t="shared" si="3"/>
        <v>9</v>
      </c>
      <c r="V18" s="14">
        <v>20</v>
      </c>
      <c r="W18" s="17">
        <v>14.42394</v>
      </c>
      <c r="X18" s="6">
        <v>1.6040310976832466</v>
      </c>
      <c r="Y18" s="4">
        <f t="shared" si="4"/>
        <v>0.11120616819560027</v>
      </c>
      <c r="Z18" s="3">
        <v>123946.37335911657</v>
      </c>
      <c r="AA18" s="17">
        <v>10.4</v>
      </c>
      <c r="AB18" s="17">
        <v>180299.25</v>
      </c>
      <c r="AC18" s="4">
        <f t="shared" si="5"/>
        <v>0.25</v>
      </c>
      <c r="AD18" s="6">
        <v>0.66666666666666663</v>
      </c>
      <c r="AE18" s="3"/>
      <c r="AF18" s="7">
        <v>1.3869173076923076</v>
      </c>
      <c r="AG18" s="30">
        <v>2</v>
      </c>
      <c r="AH18" s="30">
        <v>6</v>
      </c>
      <c r="AI18" s="30">
        <f t="shared" si="6"/>
        <v>8</v>
      </c>
      <c r="AK18" s="14"/>
      <c r="AL18" s="17"/>
      <c r="AM18" s="3"/>
      <c r="AN18" s="4"/>
      <c r="AO18" s="3"/>
      <c r="AP18" s="17"/>
      <c r="AQ18" s="17"/>
      <c r="AR18" s="6"/>
      <c r="AS18" s="3"/>
      <c r="AT18" s="3"/>
      <c r="AU18" s="7"/>
      <c r="AV18" s="8"/>
      <c r="AW18" s="8"/>
      <c r="AX18" s="8"/>
      <c r="AZ18" s="14"/>
      <c r="BA18" s="17"/>
      <c r="BB18" s="3"/>
      <c r="BC18" s="4"/>
      <c r="BD18" s="3"/>
      <c r="BE18" s="17"/>
      <c r="BF18" s="17"/>
      <c r="BG18" s="6"/>
      <c r="BH18" s="3"/>
      <c r="BI18" s="3"/>
      <c r="BJ18" s="7"/>
      <c r="BK18" s="8"/>
      <c r="BL18" s="8"/>
      <c r="BM18" s="8"/>
      <c r="BO18" s="14"/>
      <c r="BP18" s="17"/>
      <c r="BQ18" s="3"/>
      <c r="BR18" s="4"/>
      <c r="BS18" s="3"/>
      <c r="BT18" s="17"/>
      <c r="BU18" s="17"/>
      <c r="BV18" s="6"/>
      <c r="BW18" s="3"/>
      <c r="BX18" s="3"/>
      <c r="BY18" s="7"/>
      <c r="BZ18" s="8"/>
      <c r="CA18" s="8"/>
      <c r="CB18" s="8"/>
      <c r="CD18" s="14"/>
      <c r="CE18" s="17"/>
      <c r="CF18" s="3"/>
      <c r="CG18" s="4"/>
      <c r="CH18" s="3"/>
      <c r="CI18" s="17"/>
      <c r="CJ18" s="17"/>
      <c r="CK18" s="6"/>
      <c r="CL18" s="3"/>
      <c r="CM18" s="3"/>
      <c r="CN18" s="7"/>
      <c r="CO18" s="8"/>
      <c r="CP18" s="8"/>
      <c r="CQ18" s="8"/>
      <c r="CS18" s="14"/>
      <c r="CT18" s="17"/>
      <c r="CU18" s="3"/>
      <c r="CV18" s="4"/>
      <c r="CW18" s="3"/>
      <c r="CX18" s="17"/>
      <c r="CY18" s="17"/>
      <c r="CZ18" s="6"/>
      <c r="DA18" s="3"/>
      <c r="DB18" s="3"/>
      <c r="DC18" s="7"/>
      <c r="DD18" s="8"/>
      <c r="DE18" s="8"/>
      <c r="DF18" s="8"/>
      <c r="DH18" s="14"/>
      <c r="DI18" s="17"/>
      <c r="DJ18" s="3"/>
      <c r="DK18" s="4"/>
      <c r="DL18" s="3"/>
      <c r="DM18" s="17"/>
      <c r="DN18" s="17"/>
      <c r="DO18" s="6"/>
      <c r="DP18" s="3"/>
      <c r="DQ18" s="3"/>
      <c r="DR18" s="7"/>
      <c r="DS18" s="8"/>
      <c r="DT18" s="8"/>
      <c r="DU18" s="8"/>
      <c r="DW18" s="14"/>
      <c r="DX18" s="17"/>
      <c r="DY18" s="3"/>
      <c r="DZ18" s="4"/>
      <c r="EA18" s="3"/>
      <c r="EB18" s="17"/>
      <c r="EC18" s="17"/>
      <c r="ED18" s="6"/>
      <c r="EE18" s="3"/>
      <c r="EF18" s="3"/>
      <c r="EG18" s="7"/>
      <c r="EH18" s="8"/>
      <c r="EI18" s="8"/>
      <c r="EJ18" s="8"/>
      <c r="EL18" s="14"/>
      <c r="EM18" s="17"/>
      <c r="EN18" s="3"/>
      <c r="EO18" s="4"/>
      <c r="EP18" s="3"/>
      <c r="EQ18" s="17"/>
      <c r="ER18" s="17"/>
      <c r="ES18" s="6"/>
      <c r="ET18" s="3"/>
      <c r="EU18" s="3"/>
      <c r="EV18" s="7"/>
      <c r="EW18" s="8"/>
      <c r="EX18" s="8"/>
      <c r="EY18" s="8"/>
      <c r="FA18" s="14"/>
      <c r="FB18" s="17"/>
      <c r="FC18" s="3"/>
      <c r="FD18" s="4"/>
      <c r="FE18" s="3"/>
      <c r="FF18" s="17"/>
      <c r="FG18" s="17"/>
      <c r="FH18" s="6"/>
      <c r="FI18" s="3"/>
      <c r="FJ18" s="3"/>
      <c r="FK18" s="7"/>
      <c r="FL18" s="8"/>
      <c r="FM18" s="8"/>
      <c r="FN18" s="8"/>
      <c r="FP18" s="14"/>
      <c r="FQ18" s="17"/>
      <c r="FR18" s="3"/>
      <c r="FS18" s="4"/>
      <c r="FT18" s="3"/>
      <c r="FU18" s="17"/>
      <c r="FV18" s="17"/>
      <c r="FW18" s="6"/>
      <c r="FX18" s="3"/>
      <c r="FY18" s="3"/>
      <c r="FZ18" s="7"/>
      <c r="GA18" s="8"/>
      <c r="GB18" s="8"/>
      <c r="GC18" s="8"/>
      <c r="GE18" s="14">
        <f t="shared" si="7"/>
        <v>40</v>
      </c>
      <c r="GF18" s="14">
        <f t="shared" si="8"/>
        <v>20.6150235</v>
      </c>
      <c r="GG18" s="14">
        <f t="shared" si="9"/>
        <v>-4.4156242285743215</v>
      </c>
      <c r="GH18" s="4">
        <f t="shared" si="10"/>
        <v>-0.21419447950541126</v>
      </c>
      <c r="GI18" s="3">
        <f t="shared" si="11"/>
        <v>117476.52907163813</v>
      </c>
      <c r="GJ18" s="3">
        <f t="shared" si="12"/>
        <v>10.7</v>
      </c>
      <c r="GK18" s="17">
        <f t="shared" si="13"/>
        <v>121264.84411764707</v>
      </c>
      <c r="GL18" s="4">
        <f t="shared" si="14"/>
        <v>0.23529411764705882</v>
      </c>
      <c r="GM18" s="3">
        <f t="shared" si="15"/>
        <v>0.58333333333333326</v>
      </c>
      <c r="GN18" s="14">
        <f t="shared" si="16"/>
        <v>0</v>
      </c>
      <c r="GO18" s="3">
        <f t="shared" si="17"/>
        <v>0.97487138111888105</v>
      </c>
      <c r="GP18" s="35">
        <f t="shared" si="18"/>
        <v>4</v>
      </c>
      <c r="GQ18" s="35">
        <f t="shared" si="19"/>
        <v>13</v>
      </c>
      <c r="GR18" s="35">
        <f t="shared" si="20"/>
        <v>17</v>
      </c>
    </row>
    <row r="19" spans="1:200" x14ac:dyDescent="0.35">
      <c r="A19" s="3" t="s">
        <v>43</v>
      </c>
      <c r="B19" s="2" t="s">
        <v>143</v>
      </c>
      <c r="C19" s="2" t="s">
        <v>155</v>
      </c>
      <c r="D19" s="2" t="s">
        <v>107</v>
      </c>
      <c r="E19" s="3" t="s">
        <v>72</v>
      </c>
      <c r="F19" s="18"/>
      <c r="G19" s="14">
        <v>40</v>
      </c>
      <c r="H19" s="17">
        <v>39.987499999999997</v>
      </c>
      <c r="I19" s="6">
        <v>18.900071366249581</v>
      </c>
      <c r="J19" s="4">
        <f t="shared" si="0"/>
        <v>0.47264948712096483</v>
      </c>
      <c r="K19" s="3">
        <v>122601.32926599082</v>
      </c>
      <c r="L19" s="17">
        <v>17.2</v>
      </c>
      <c r="M19" s="17">
        <f t="shared" si="1"/>
        <v>64516.129032258061</v>
      </c>
      <c r="N19" s="4">
        <f t="shared" si="2"/>
        <v>1</v>
      </c>
      <c r="O19" s="3">
        <v>4.1333333333333337</v>
      </c>
      <c r="P19" s="6"/>
      <c r="Q19" s="7">
        <v>2.324854651162791</v>
      </c>
      <c r="R19" s="30">
        <v>62</v>
      </c>
      <c r="S19" s="30">
        <v>0</v>
      </c>
      <c r="T19" s="30">
        <f t="shared" si="3"/>
        <v>62</v>
      </c>
      <c r="V19" s="14">
        <v>60</v>
      </c>
      <c r="W19" s="17">
        <v>35</v>
      </c>
      <c r="X19" s="6">
        <v>14.758584386096473</v>
      </c>
      <c r="Y19" s="4">
        <f t="shared" si="4"/>
        <v>0.4216738396027564</v>
      </c>
      <c r="Z19" s="3">
        <v>115874.02519701263</v>
      </c>
      <c r="AA19" s="17">
        <v>17.649999999999999</v>
      </c>
      <c r="AB19" s="17">
        <v>68627.450980392154</v>
      </c>
      <c r="AC19" s="4">
        <f t="shared" si="5"/>
        <v>1</v>
      </c>
      <c r="AD19" s="6">
        <v>3.5294117647058827</v>
      </c>
      <c r="AE19" s="3">
        <v>35</v>
      </c>
      <c r="AF19" s="7">
        <v>1.9830028328611899</v>
      </c>
      <c r="AG19" s="30">
        <v>51</v>
      </c>
      <c r="AH19" s="30">
        <v>0</v>
      </c>
      <c r="AI19" s="30">
        <f t="shared" si="6"/>
        <v>51</v>
      </c>
      <c r="AK19" s="14"/>
      <c r="AL19" s="17"/>
      <c r="AM19" s="3"/>
      <c r="AN19" s="4"/>
      <c r="AO19" s="3"/>
      <c r="AP19" s="17"/>
      <c r="AQ19" s="17"/>
      <c r="AR19" s="6"/>
      <c r="AS19" s="3"/>
      <c r="AT19" s="3"/>
      <c r="AU19" s="7"/>
      <c r="AV19" s="8"/>
      <c r="AW19" s="8"/>
      <c r="AX19" s="8"/>
      <c r="AZ19" s="14"/>
      <c r="BA19" s="17"/>
      <c r="BB19" s="3"/>
      <c r="BC19" s="4"/>
      <c r="BD19" s="3"/>
      <c r="BE19" s="17"/>
      <c r="BF19" s="17"/>
      <c r="BG19" s="6"/>
      <c r="BH19" s="3"/>
      <c r="BI19" s="3"/>
      <c r="BJ19" s="7"/>
      <c r="BK19" s="8"/>
      <c r="BL19" s="8"/>
      <c r="BM19" s="8"/>
      <c r="BO19" s="14"/>
      <c r="BP19" s="17"/>
      <c r="BQ19" s="3"/>
      <c r="BR19" s="4"/>
      <c r="BS19" s="3"/>
      <c r="BT19" s="17"/>
      <c r="BU19" s="17"/>
      <c r="BV19" s="6"/>
      <c r="BW19" s="3"/>
      <c r="BX19" s="3"/>
      <c r="BY19" s="7"/>
      <c r="BZ19" s="8"/>
      <c r="CA19" s="8"/>
      <c r="CB19" s="8"/>
      <c r="CD19" s="14"/>
      <c r="CE19" s="17"/>
      <c r="CF19" s="3"/>
      <c r="CG19" s="4"/>
      <c r="CH19" s="3"/>
      <c r="CI19" s="17"/>
      <c r="CJ19" s="17"/>
      <c r="CK19" s="6"/>
      <c r="CL19" s="3"/>
      <c r="CM19" s="3"/>
      <c r="CN19" s="7"/>
      <c r="CO19" s="8"/>
      <c r="CP19" s="8"/>
      <c r="CQ19" s="8"/>
      <c r="CS19" s="14"/>
      <c r="CT19" s="17"/>
      <c r="CU19" s="3"/>
      <c r="CV19" s="4"/>
      <c r="CW19" s="3"/>
      <c r="CX19" s="17"/>
      <c r="CY19" s="17"/>
      <c r="CZ19" s="6"/>
      <c r="DA19" s="3"/>
      <c r="DB19" s="3"/>
      <c r="DC19" s="7"/>
      <c r="DD19" s="8"/>
      <c r="DE19" s="8"/>
      <c r="DF19" s="8"/>
      <c r="DH19" s="14"/>
      <c r="DI19" s="17"/>
      <c r="DJ19" s="3"/>
      <c r="DK19" s="4"/>
      <c r="DL19" s="3"/>
      <c r="DM19" s="17"/>
      <c r="DN19" s="17"/>
      <c r="DO19" s="6"/>
      <c r="DP19" s="3"/>
      <c r="DQ19" s="3"/>
      <c r="DR19" s="7"/>
      <c r="DS19" s="8"/>
      <c r="DT19" s="8"/>
      <c r="DU19" s="8"/>
      <c r="DW19" s="14"/>
      <c r="DX19" s="17"/>
      <c r="DY19" s="3"/>
      <c r="DZ19" s="4"/>
      <c r="EA19" s="3"/>
      <c r="EB19" s="17"/>
      <c r="EC19" s="17"/>
      <c r="ED19" s="6"/>
      <c r="EE19" s="3"/>
      <c r="EF19" s="3"/>
      <c r="EG19" s="7"/>
      <c r="EH19" s="8"/>
      <c r="EI19" s="8"/>
      <c r="EJ19" s="8"/>
      <c r="EL19" s="14"/>
      <c r="EM19" s="17"/>
      <c r="EN19" s="3"/>
      <c r="EO19" s="4"/>
      <c r="EP19" s="3"/>
      <c r="EQ19" s="17"/>
      <c r="ER19" s="17"/>
      <c r="ES19" s="6"/>
      <c r="ET19" s="3"/>
      <c r="EU19" s="3"/>
      <c r="EV19" s="7"/>
      <c r="EW19" s="8"/>
      <c r="EX19" s="8"/>
      <c r="EY19" s="8"/>
      <c r="FA19" s="14"/>
      <c r="FB19" s="17"/>
      <c r="FC19" s="3"/>
      <c r="FD19" s="4"/>
      <c r="FE19" s="3"/>
      <c r="FF19" s="17"/>
      <c r="FG19" s="17"/>
      <c r="FH19" s="6"/>
      <c r="FI19" s="3"/>
      <c r="FJ19" s="3"/>
      <c r="FK19" s="7"/>
      <c r="FL19" s="8"/>
      <c r="FM19" s="8"/>
      <c r="FN19" s="8"/>
      <c r="FP19" s="14"/>
      <c r="FQ19" s="17"/>
      <c r="FR19" s="3"/>
      <c r="FS19" s="4"/>
      <c r="FT19" s="3"/>
      <c r="FU19" s="17"/>
      <c r="FV19" s="17"/>
      <c r="FW19" s="6"/>
      <c r="FX19" s="3"/>
      <c r="FY19" s="3"/>
      <c r="FZ19" s="7"/>
      <c r="GA19" s="8"/>
      <c r="GB19" s="8"/>
      <c r="GC19" s="8"/>
      <c r="GE19" s="14">
        <f t="shared" si="7"/>
        <v>100</v>
      </c>
      <c r="GF19" s="14">
        <f t="shared" si="8"/>
        <v>74.987499999999997</v>
      </c>
      <c r="GG19" s="14">
        <f t="shared" si="9"/>
        <v>33.65865575234605</v>
      </c>
      <c r="GH19" s="4">
        <f t="shared" si="10"/>
        <v>0.44885688617897718</v>
      </c>
      <c r="GI19" s="3">
        <f t="shared" si="11"/>
        <v>119237.67723150173</v>
      </c>
      <c r="GJ19" s="3">
        <f t="shared" si="12"/>
        <v>17.424999999999997</v>
      </c>
      <c r="GK19" s="17">
        <f t="shared" si="13"/>
        <v>66360.619469026555</v>
      </c>
      <c r="GL19" s="4">
        <f t="shared" si="14"/>
        <v>1</v>
      </c>
      <c r="GM19" s="3">
        <f t="shared" si="15"/>
        <v>3.8313725490196084</v>
      </c>
      <c r="GN19" s="14">
        <f t="shared" si="16"/>
        <v>35</v>
      </c>
      <c r="GO19" s="3">
        <f t="shared" si="17"/>
        <v>2.1539287420119906</v>
      </c>
      <c r="GP19" s="35">
        <f t="shared" si="18"/>
        <v>113</v>
      </c>
      <c r="GQ19" s="35">
        <f t="shared" si="19"/>
        <v>0</v>
      </c>
      <c r="GR19" s="35">
        <f t="shared" si="20"/>
        <v>113</v>
      </c>
    </row>
    <row r="20" spans="1:200" x14ac:dyDescent="0.35">
      <c r="A20" s="3" t="s">
        <v>11</v>
      </c>
      <c r="B20" s="2" t="s">
        <v>142</v>
      </c>
      <c r="C20" s="2" t="s">
        <v>83</v>
      </c>
      <c r="D20" s="2" t="s">
        <v>107</v>
      </c>
      <c r="E20" s="3" t="s">
        <v>2</v>
      </c>
      <c r="F20" s="18"/>
      <c r="G20" s="14">
        <v>6.703333333333334</v>
      </c>
      <c r="H20" s="17">
        <v>6.9908000000000001</v>
      </c>
      <c r="I20" s="6">
        <v>2.5863520433141494</v>
      </c>
      <c r="J20" s="4">
        <f t="shared" si="0"/>
        <v>0.36996510318048709</v>
      </c>
      <c r="K20" s="3">
        <v>104618.71631082782</v>
      </c>
      <c r="L20" s="17">
        <v>4.21</v>
      </c>
      <c r="M20" s="17">
        <f t="shared" si="1"/>
        <v>27930.555555555558</v>
      </c>
      <c r="N20" s="4">
        <f t="shared" si="2"/>
        <v>0.33333333333333331</v>
      </c>
      <c r="O20" s="3">
        <v>2.2857142857142856</v>
      </c>
      <c r="P20" s="6"/>
      <c r="Q20" s="7">
        <v>1.660522565320665</v>
      </c>
      <c r="R20" s="30">
        <v>8</v>
      </c>
      <c r="S20" s="30">
        <v>16</v>
      </c>
      <c r="T20" s="30">
        <f t="shared" si="3"/>
        <v>24</v>
      </c>
      <c r="V20" s="14">
        <v>6.703333333333334</v>
      </c>
      <c r="W20" s="17">
        <v>17.080000000000002</v>
      </c>
      <c r="X20" s="6">
        <v>11.117199873518997</v>
      </c>
      <c r="Y20" s="4">
        <f t="shared" si="4"/>
        <v>0.65088992233717768</v>
      </c>
      <c r="Z20" s="3">
        <v>109632.66380078658</v>
      </c>
      <c r="AA20" s="17">
        <v>5.73</v>
      </c>
      <c r="AB20" s="17">
        <v>63259.25925925927</v>
      </c>
      <c r="AC20" s="4">
        <f t="shared" si="5"/>
        <v>0.70370370370370372</v>
      </c>
      <c r="AD20" s="6">
        <v>4.2222222222222223</v>
      </c>
      <c r="AE20" s="3">
        <f>1708000/100000</f>
        <v>17.079999999999998</v>
      </c>
      <c r="AF20" s="7">
        <v>2.9808027923211164</v>
      </c>
      <c r="AG20" s="30">
        <v>19</v>
      </c>
      <c r="AH20" s="30">
        <v>8</v>
      </c>
      <c r="AI20" s="30">
        <f t="shared" si="6"/>
        <v>27</v>
      </c>
      <c r="AK20" s="14"/>
      <c r="AL20" s="17"/>
      <c r="AM20" s="3"/>
      <c r="AN20" s="4"/>
      <c r="AO20" s="3"/>
      <c r="AP20" s="17"/>
      <c r="AQ20" s="17"/>
      <c r="AR20" s="6"/>
      <c r="AS20" s="3"/>
      <c r="AT20" s="3"/>
      <c r="AU20" s="7"/>
      <c r="AV20" s="8"/>
      <c r="AW20" s="8"/>
      <c r="AX20" s="8"/>
      <c r="AZ20" s="14"/>
      <c r="BA20" s="17"/>
      <c r="BB20" s="3"/>
      <c r="BC20" s="4"/>
      <c r="BD20" s="3"/>
      <c r="BE20" s="17"/>
      <c r="BF20" s="17"/>
      <c r="BG20" s="6"/>
      <c r="BH20" s="3"/>
      <c r="BI20" s="3"/>
      <c r="BJ20" s="7"/>
      <c r="BK20" s="8"/>
      <c r="BL20" s="8"/>
      <c r="BM20" s="8"/>
      <c r="BO20" s="14"/>
      <c r="BP20" s="17"/>
      <c r="BQ20" s="3"/>
      <c r="BR20" s="4"/>
      <c r="BS20" s="3"/>
      <c r="BT20" s="17"/>
      <c r="BU20" s="17"/>
      <c r="BV20" s="6"/>
      <c r="BW20" s="3"/>
      <c r="BX20" s="3"/>
      <c r="BY20" s="7"/>
      <c r="BZ20" s="8"/>
      <c r="CA20" s="8"/>
      <c r="CB20" s="8"/>
      <c r="CD20" s="14"/>
      <c r="CE20" s="17"/>
      <c r="CF20" s="3"/>
      <c r="CG20" s="4"/>
      <c r="CH20" s="3"/>
      <c r="CI20" s="17"/>
      <c r="CJ20" s="17"/>
      <c r="CK20" s="6"/>
      <c r="CL20" s="3"/>
      <c r="CM20" s="3"/>
      <c r="CN20" s="7"/>
      <c r="CO20" s="8"/>
      <c r="CP20" s="8"/>
      <c r="CQ20" s="8"/>
      <c r="CS20" s="14"/>
      <c r="CT20" s="17"/>
      <c r="CU20" s="3"/>
      <c r="CV20" s="4"/>
      <c r="CW20" s="3"/>
      <c r="CX20" s="17"/>
      <c r="CY20" s="17"/>
      <c r="CZ20" s="6"/>
      <c r="DA20" s="3"/>
      <c r="DB20" s="3"/>
      <c r="DC20" s="7"/>
      <c r="DD20" s="8"/>
      <c r="DE20" s="8"/>
      <c r="DF20" s="8"/>
      <c r="DH20" s="14"/>
      <c r="DI20" s="17"/>
      <c r="DJ20" s="3"/>
      <c r="DK20" s="4"/>
      <c r="DL20" s="3"/>
      <c r="DM20" s="17"/>
      <c r="DN20" s="17"/>
      <c r="DO20" s="6"/>
      <c r="DP20" s="3"/>
      <c r="DQ20" s="3"/>
      <c r="DR20" s="7"/>
      <c r="DS20" s="8"/>
      <c r="DT20" s="8"/>
      <c r="DU20" s="8"/>
      <c r="DW20" s="14"/>
      <c r="DX20" s="17"/>
      <c r="DY20" s="3"/>
      <c r="DZ20" s="4"/>
      <c r="EA20" s="3"/>
      <c r="EB20" s="17"/>
      <c r="EC20" s="17"/>
      <c r="ED20" s="6"/>
      <c r="EE20" s="3"/>
      <c r="EF20" s="3"/>
      <c r="EG20" s="7"/>
      <c r="EH20" s="8"/>
      <c r="EI20" s="8"/>
      <c r="EJ20" s="8"/>
      <c r="EL20" s="14"/>
      <c r="EM20" s="17"/>
      <c r="EN20" s="3"/>
      <c r="EO20" s="4"/>
      <c r="EP20" s="3"/>
      <c r="EQ20" s="17"/>
      <c r="ER20" s="17"/>
      <c r="ES20" s="6"/>
      <c r="ET20" s="3"/>
      <c r="EU20" s="3"/>
      <c r="EV20" s="7"/>
      <c r="EW20" s="8"/>
      <c r="EX20" s="8"/>
      <c r="EY20" s="8"/>
      <c r="FA20" s="14"/>
      <c r="FB20" s="17"/>
      <c r="FC20" s="3"/>
      <c r="FD20" s="4"/>
      <c r="FE20" s="3"/>
      <c r="FF20" s="17"/>
      <c r="FG20" s="17"/>
      <c r="FH20" s="6"/>
      <c r="FI20" s="3"/>
      <c r="FJ20" s="3"/>
      <c r="FK20" s="7"/>
      <c r="FL20" s="8"/>
      <c r="FM20" s="8"/>
      <c r="FN20" s="8"/>
      <c r="FP20" s="14"/>
      <c r="FQ20" s="17"/>
      <c r="FR20" s="3"/>
      <c r="FS20" s="4"/>
      <c r="FT20" s="3"/>
      <c r="FU20" s="17"/>
      <c r="FV20" s="17"/>
      <c r="FW20" s="6"/>
      <c r="FX20" s="3"/>
      <c r="FY20" s="3"/>
      <c r="FZ20" s="7"/>
      <c r="GA20" s="8"/>
      <c r="GB20" s="8"/>
      <c r="GC20" s="8"/>
      <c r="GE20" s="14">
        <f t="shared" si="7"/>
        <v>13.406666666666668</v>
      </c>
      <c r="GF20" s="14">
        <f t="shared" si="8"/>
        <v>24.070800000000002</v>
      </c>
      <c r="GG20" s="14">
        <f t="shared" si="9"/>
        <v>13.703551916833145</v>
      </c>
      <c r="GH20" s="4">
        <f t="shared" si="10"/>
        <v>0.56930188929462855</v>
      </c>
      <c r="GI20" s="3">
        <f t="shared" si="11"/>
        <v>107125.69005580721</v>
      </c>
      <c r="GJ20" s="3">
        <f t="shared" si="12"/>
        <v>4.9700000000000006</v>
      </c>
      <c r="GK20" s="17">
        <f t="shared" si="13"/>
        <v>47197.647058823532</v>
      </c>
      <c r="GL20" s="4">
        <f t="shared" si="14"/>
        <v>0.52941176470588236</v>
      </c>
      <c r="GM20" s="3">
        <f t="shared" si="15"/>
        <v>3.253968253968254</v>
      </c>
      <c r="GN20" s="14">
        <f t="shared" si="16"/>
        <v>17.079999999999998</v>
      </c>
      <c r="GO20" s="3">
        <f t="shared" si="17"/>
        <v>2.3206626788208906</v>
      </c>
      <c r="GP20" s="35">
        <f t="shared" si="18"/>
        <v>27</v>
      </c>
      <c r="GQ20" s="35">
        <f t="shared" si="19"/>
        <v>24</v>
      </c>
      <c r="GR20" s="35">
        <f t="shared" si="20"/>
        <v>51</v>
      </c>
    </row>
    <row r="21" spans="1:200" x14ac:dyDescent="0.35">
      <c r="A21" s="3" t="s">
        <v>12</v>
      </c>
      <c r="B21" s="2" t="s">
        <v>142</v>
      </c>
      <c r="C21" s="2" t="s">
        <v>149</v>
      </c>
      <c r="D21" s="2" t="s">
        <v>107</v>
      </c>
      <c r="E21" s="3" t="s">
        <v>2</v>
      </c>
      <c r="F21" s="18"/>
      <c r="G21" s="14">
        <v>30</v>
      </c>
      <c r="H21" s="17">
        <v>26.27983</v>
      </c>
      <c r="I21" s="6">
        <v>-9.0498831781149569</v>
      </c>
      <c r="J21" s="4">
        <f t="shared" si="0"/>
        <v>-0.34436612330121452</v>
      </c>
      <c r="K21" s="3">
        <v>85008.934499795359</v>
      </c>
      <c r="L21" s="17">
        <v>41.56</v>
      </c>
      <c r="M21" s="17">
        <f t="shared" si="1"/>
        <v>71428.571428571435</v>
      </c>
      <c r="N21" s="4">
        <f t="shared" si="2"/>
        <v>0.76190476190476186</v>
      </c>
      <c r="O21" s="3">
        <v>0.90140845070422537</v>
      </c>
      <c r="P21" s="6">
        <f>2627983/100000</f>
        <v>26.27983</v>
      </c>
      <c r="Q21" s="7">
        <v>0.63233469682386911</v>
      </c>
      <c r="R21" s="30">
        <v>32</v>
      </c>
      <c r="S21" s="30">
        <v>10</v>
      </c>
      <c r="T21" s="30">
        <f t="shared" si="3"/>
        <v>42</v>
      </c>
      <c r="V21" s="14">
        <v>30</v>
      </c>
      <c r="W21" s="17">
        <v>34.483152750000002</v>
      </c>
      <c r="X21" s="6">
        <v>-1.1710681585693592</v>
      </c>
      <c r="Y21" s="4">
        <f t="shared" si="4"/>
        <v>-3.3960588437475722E-2</v>
      </c>
      <c r="Z21" s="3">
        <v>83526.763237295861</v>
      </c>
      <c r="AA21" s="17">
        <v>44.58</v>
      </c>
      <c r="AB21" s="17">
        <v>70373.781122448985</v>
      </c>
      <c r="AC21" s="4">
        <f t="shared" si="5"/>
        <v>0.83673469387755106</v>
      </c>
      <c r="AD21" s="6">
        <v>1.0649350649350648</v>
      </c>
      <c r="AE21" s="3">
        <f>3448315.275/100000</f>
        <v>34.483152750000002</v>
      </c>
      <c r="AF21" s="7">
        <v>0.77351166442350838</v>
      </c>
      <c r="AG21" s="30">
        <v>41</v>
      </c>
      <c r="AH21" s="30">
        <v>8</v>
      </c>
      <c r="AI21" s="30">
        <f t="shared" si="6"/>
        <v>49</v>
      </c>
      <c r="AK21" s="14"/>
      <c r="AL21" s="17"/>
      <c r="AM21" s="3"/>
      <c r="AN21" s="4"/>
      <c r="AO21" s="3"/>
      <c r="AP21" s="17"/>
      <c r="AQ21" s="17"/>
      <c r="AR21" s="6"/>
      <c r="AS21" s="3"/>
      <c r="AT21" s="3"/>
      <c r="AU21" s="7"/>
      <c r="AV21" s="8"/>
      <c r="AW21" s="8"/>
      <c r="AX21" s="8"/>
      <c r="AZ21" s="14"/>
      <c r="BA21" s="17"/>
      <c r="BB21" s="3"/>
      <c r="BC21" s="4"/>
      <c r="BD21" s="3"/>
      <c r="BE21" s="17"/>
      <c r="BF21" s="17"/>
      <c r="BG21" s="6"/>
      <c r="BH21" s="3"/>
      <c r="BI21" s="3"/>
      <c r="BJ21" s="7"/>
      <c r="BK21" s="8"/>
      <c r="BL21" s="8"/>
      <c r="BM21" s="8"/>
      <c r="BO21" s="14"/>
      <c r="BP21" s="17"/>
      <c r="BQ21" s="3"/>
      <c r="BR21" s="4"/>
      <c r="BS21" s="3"/>
      <c r="BT21" s="17"/>
      <c r="BU21" s="17"/>
      <c r="BV21" s="6"/>
      <c r="BW21" s="3"/>
      <c r="BX21" s="3"/>
      <c r="BY21" s="7"/>
      <c r="BZ21" s="8"/>
      <c r="CA21" s="8"/>
      <c r="CB21" s="8"/>
      <c r="CD21" s="14"/>
      <c r="CE21" s="17"/>
      <c r="CF21" s="3"/>
      <c r="CG21" s="4"/>
      <c r="CH21" s="3"/>
      <c r="CI21" s="17"/>
      <c r="CJ21" s="17"/>
      <c r="CK21" s="6"/>
      <c r="CL21" s="3"/>
      <c r="CM21" s="3"/>
      <c r="CN21" s="7"/>
      <c r="CO21" s="8"/>
      <c r="CP21" s="8"/>
      <c r="CQ21" s="8"/>
      <c r="CS21" s="14"/>
      <c r="CT21" s="17"/>
      <c r="CU21" s="3"/>
      <c r="CV21" s="4"/>
      <c r="CW21" s="3"/>
      <c r="CX21" s="17"/>
      <c r="CY21" s="17"/>
      <c r="CZ21" s="6"/>
      <c r="DA21" s="3"/>
      <c r="DB21" s="3"/>
      <c r="DC21" s="7"/>
      <c r="DD21" s="8"/>
      <c r="DE21" s="8"/>
      <c r="DF21" s="8"/>
      <c r="DH21" s="14"/>
      <c r="DI21" s="17"/>
      <c r="DJ21" s="3"/>
      <c r="DK21" s="4"/>
      <c r="DL21" s="3"/>
      <c r="DM21" s="17"/>
      <c r="DN21" s="17"/>
      <c r="DO21" s="6"/>
      <c r="DP21" s="3"/>
      <c r="DQ21" s="3"/>
      <c r="DR21" s="7"/>
      <c r="DS21" s="8"/>
      <c r="DT21" s="8"/>
      <c r="DU21" s="8"/>
      <c r="DW21" s="14"/>
      <c r="DX21" s="17"/>
      <c r="DY21" s="3"/>
      <c r="DZ21" s="4"/>
      <c r="EA21" s="3"/>
      <c r="EB21" s="17"/>
      <c r="EC21" s="17"/>
      <c r="ED21" s="6"/>
      <c r="EE21" s="3"/>
      <c r="EF21" s="3"/>
      <c r="EG21" s="7"/>
      <c r="EH21" s="8"/>
      <c r="EI21" s="8"/>
      <c r="EJ21" s="8"/>
      <c r="EL21" s="14"/>
      <c r="EM21" s="17"/>
      <c r="EN21" s="3"/>
      <c r="EO21" s="4"/>
      <c r="EP21" s="3"/>
      <c r="EQ21" s="17"/>
      <c r="ER21" s="17"/>
      <c r="ES21" s="6"/>
      <c r="ET21" s="3"/>
      <c r="EU21" s="3"/>
      <c r="EV21" s="7"/>
      <c r="EW21" s="8"/>
      <c r="EX21" s="8"/>
      <c r="EY21" s="8"/>
      <c r="FA21" s="14"/>
      <c r="FB21" s="17"/>
      <c r="FC21" s="3"/>
      <c r="FD21" s="4"/>
      <c r="FE21" s="3"/>
      <c r="FF21" s="17"/>
      <c r="FG21" s="17"/>
      <c r="FH21" s="6"/>
      <c r="FI21" s="3"/>
      <c r="FJ21" s="3"/>
      <c r="FK21" s="7"/>
      <c r="FL21" s="8"/>
      <c r="FM21" s="8"/>
      <c r="FN21" s="8"/>
      <c r="FP21" s="14"/>
      <c r="FQ21" s="17"/>
      <c r="FR21" s="3"/>
      <c r="FS21" s="4"/>
      <c r="FT21" s="3"/>
      <c r="FU21" s="17"/>
      <c r="FV21" s="17"/>
      <c r="FW21" s="6"/>
      <c r="FX21" s="3"/>
      <c r="FY21" s="3"/>
      <c r="FZ21" s="7"/>
      <c r="GA21" s="8"/>
      <c r="GB21" s="8"/>
      <c r="GC21" s="8"/>
      <c r="GE21" s="14">
        <f t="shared" si="7"/>
        <v>60</v>
      </c>
      <c r="GF21" s="14">
        <f t="shared" si="8"/>
        <v>60.762982750000006</v>
      </c>
      <c r="GG21" s="14">
        <f t="shared" si="9"/>
        <v>-10.220951336684315</v>
      </c>
      <c r="GH21" s="4">
        <f t="shared" si="10"/>
        <v>-0.16821016471059125</v>
      </c>
      <c r="GI21" s="3">
        <f t="shared" si="11"/>
        <v>84267.84886854561</v>
      </c>
      <c r="GJ21" s="3">
        <f t="shared" si="12"/>
        <v>43.07</v>
      </c>
      <c r="GK21" s="17">
        <f t="shared" si="13"/>
        <v>66772.508516483518</v>
      </c>
      <c r="GL21" s="4">
        <f t="shared" si="14"/>
        <v>0.80219780219780223</v>
      </c>
      <c r="GM21" s="3">
        <f t="shared" si="15"/>
        <v>0.98317175781964505</v>
      </c>
      <c r="GN21" s="14">
        <f t="shared" si="16"/>
        <v>60.762982750000006</v>
      </c>
      <c r="GO21" s="3">
        <f t="shared" si="17"/>
        <v>0.70292318062368875</v>
      </c>
      <c r="GP21" s="35">
        <f t="shared" si="18"/>
        <v>73</v>
      </c>
      <c r="GQ21" s="35">
        <f t="shared" si="19"/>
        <v>18</v>
      </c>
      <c r="GR21" s="35">
        <f t="shared" si="20"/>
        <v>91</v>
      </c>
    </row>
    <row r="22" spans="1:200" x14ac:dyDescent="0.35">
      <c r="A22" s="3" t="s">
        <v>22</v>
      </c>
      <c r="B22" s="2" t="s">
        <v>142</v>
      </c>
      <c r="C22" s="2" t="s">
        <v>149</v>
      </c>
      <c r="D22" s="2" t="s">
        <v>107</v>
      </c>
      <c r="E22" s="3" t="s">
        <v>2</v>
      </c>
      <c r="F22" s="18"/>
      <c r="G22" s="14">
        <v>5</v>
      </c>
      <c r="H22" s="17">
        <v>0.1</v>
      </c>
      <c r="I22" s="6">
        <v>0.1</v>
      </c>
      <c r="J22" s="4">
        <f t="shared" si="0"/>
        <v>1</v>
      </c>
      <c r="K22" s="3">
        <v>0</v>
      </c>
      <c r="L22" s="17">
        <v>0</v>
      </c>
      <c r="M22" s="17">
        <f t="shared" si="1"/>
        <v>0</v>
      </c>
      <c r="N22" s="4">
        <f t="shared" si="2"/>
        <v>0</v>
      </c>
      <c r="O22" s="3"/>
      <c r="P22" s="6">
        <f>10000/100000</f>
        <v>0.1</v>
      </c>
      <c r="Q22" s="7"/>
      <c r="R22" s="30">
        <v>0</v>
      </c>
      <c r="S22" s="30">
        <v>0</v>
      </c>
      <c r="T22" s="30">
        <f t="shared" si="3"/>
        <v>0</v>
      </c>
      <c r="V22" s="14">
        <v>5</v>
      </c>
      <c r="W22" s="17">
        <v>0</v>
      </c>
      <c r="X22" s="6">
        <v>0</v>
      </c>
      <c r="Y22" s="4">
        <f t="shared" si="4"/>
        <v>0</v>
      </c>
      <c r="Z22" s="3"/>
      <c r="AA22" s="17">
        <v>0</v>
      </c>
      <c r="AB22" s="17"/>
      <c r="AC22" s="4">
        <f t="shared" si="5"/>
        <v>0</v>
      </c>
      <c r="AD22" s="6" t="s">
        <v>123</v>
      </c>
      <c r="AE22" s="3"/>
      <c r="AF22" s="7">
        <v>0</v>
      </c>
      <c r="AG22" s="30">
        <v>0</v>
      </c>
      <c r="AH22" s="30">
        <v>0</v>
      </c>
      <c r="AI22" s="30">
        <f t="shared" si="6"/>
        <v>0</v>
      </c>
      <c r="AK22" s="14"/>
      <c r="AL22" s="17"/>
      <c r="AM22" s="3"/>
      <c r="AN22" s="4"/>
      <c r="AO22" s="3"/>
      <c r="AP22" s="17"/>
      <c r="AQ22" s="17"/>
      <c r="AR22" s="6"/>
      <c r="AS22" s="3"/>
      <c r="AT22" s="3"/>
      <c r="AU22" s="7"/>
      <c r="AV22" s="8"/>
      <c r="AW22" s="8"/>
      <c r="AX22" s="8"/>
      <c r="AZ22" s="14"/>
      <c r="BA22" s="17"/>
      <c r="BB22" s="3"/>
      <c r="BC22" s="4"/>
      <c r="BD22" s="3"/>
      <c r="BE22" s="17"/>
      <c r="BF22" s="17"/>
      <c r="BG22" s="6"/>
      <c r="BH22" s="3"/>
      <c r="BI22" s="3"/>
      <c r="BJ22" s="7"/>
      <c r="BK22" s="8"/>
      <c r="BL22" s="8"/>
      <c r="BM22" s="8"/>
      <c r="BO22" s="14"/>
      <c r="BP22" s="17"/>
      <c r="BQ22" s="3"/>
      <c r="BR22" s="4"/>
      <c r="BS22" s="3"/>
      <c r="BT22" s="17"/>
      <c r="BU22" s="17"/>
      <c r="BV22" s="6"/>
      <c r="BW22" s="3"/>
      <c r="BX22" s="3"/>
      <c r="BY22" s="7"/>
      <c r="BZ22" s="8"/>
      <c r="CA22" s="8"/>
      <c r="CB22" s="8"/>
      <c r="CD22" s="14"/>
      <c r="CE22" s="17"/>
      <c r="CF22" s="3"/>
      <c r="CG22" s="4"/>
      <c r="CH22" s="3"/>
      <c r="CI22" s="17"/>
      <c r="CJ22" s="17"/>
      <c r="CK22" s="6"/>
      <c r="CL22" s="3"/>
      <c r="CM22" s="3"/>
      <c r="CN22" s="7"/>
      <c r="CO22" s="8"/>
      <c r="CP22" s="8"/>
      <c r="CQ22" s="8"/>
      <c r="CS22" s="14"/>
      <c r="CT22" s="17"/>
      <c r="CU22" s="3"/>
      <c r="CV22" s="4"/>
      <c r="CW22" s="3"/>
      <c r="CX22" s="17"/>
      <c r="CY22" s="17"/>
      <c r="CZ22" s="6"/>
      <c r="DA22" s="3"/>
      <c r="DB22" s="3"/>
      <c r="DC22" s="7"/>
      <c r="DD22" s="8"/>
      <c r="DE22" s="8"/>
      <c r="DF22" s="8"/>
      <c r="DH22" s="14"/>
      <c r="DI22" s="17"/>
      <c r="DJ22" s="3"/>
      <c r="DK22" s="4"/>
      <c r="DL22" s="3"/>
      <c r="DM22" s="17"/>
      <c r="DN22" s="17"/>
      <c r="DO22" s="6"/>
      <c r="DP22" s="3"/>
      <c r="DQ22" s="3"/>
      <c r="DR22" s="7"/>
      <c r="DS22" s="8"/>
      <c r="DT22" s="8"/>
      <c r="DU22" s="8"/>
      <c r="DW22" s="14"/>
      <c r="DX22" s="17"/>
      <c r="DY22" s="3"/>
      <c r="DZ22" s="4"/>
      <c r="EA22" s="3"/>
      <c r="EB22" s="17"/>
      <c r="EC22" s="17"/>
      <c r="ED22" s="6"/>
      <c r="EE22" s="3"/>
      <c r="EF22" s="3"/>
      <c r="EG22" s="7"/>
      <c r="EH22" s="8"/>
      <c r="EI22" s="8"/>
      <c r="EJ22" s="8"/>
      <c r="EL22" s="14"/>
      <c r="EM22" s="17"/>
      <c r="EN22" s="3"/>
      <c r="EO22" s="4"/>
      <c r="EP22" s="3"/>
      <c r="EQ22" s="17"/>
      <c r="ER22" s="17"/>
      <c r="ES22" s="6"/>
      <c r="ET22" s="3"/>
      <c r="EU22" s="3"/>
      <c r="EV22" s="7"/>
      <c r="EW22" s="8"/>
      <c r="EX22" s="8"/>
      <c r="EY22" s="8"/>
      <c r="FA22" s="14"/>
      <c r="FB22" s="17"/>
      <c r="FC22" s="3"/>
      <c r="FD22" s="4"/>
      <c r="FE22" s="3"/>
      <c r="FF22" s="17"/>
      <c r="FG22" s="17"/>
      <c r="FH22" s="6"/>
      <c r="FI22" s="3"/>
      <c r="FJ22" s="3"/>
      <c r="FK22" s="7"/>
      <c r="FL22" s="8"/>
      <c r="FM22" s="8"/>
      <c r="FN22" s="8"/>
      <c r="FP22" s="14"/>
      <c r="FQ22" s="17"/>
      <c r="FR22" s="3"/>
      <c r="FS22" s="4"/>
      <c r="FT22" s="3"/>
      <c r="FU22" s="17"/>
      <c r="FV22" s="17"/>
      <c r="FW22" s="6"/>
      <c r="FX22" s="3"/>
      <c r="FY22" s="3"/>
      <c r="FZ22" s="7"/>
      <c r="GA22" s="8"/>
      <c r="GB22" s="8"/>
      <c r="GC22" s="8"/>
      <c r="GE22" s="14">
        <f t="shared" si="7"/>
        <v>10</v>
      </c>
      <c r="GF22" s="14">
        <f t="shared" si="8"/>
        <v>0.1</v>
      </c>
      <c r="GG22" s="14">
        <f t="shared" si="9"/>
        <v>0.1</v>
      </c>
      <c r="GH22" s="4">
        <f t="shared" si="10"/>
        <v>1</v>
      </c>
      <c r="GI22" s="3">
        <f t="shared" si="11"/>
        <v>0</v>
      </c>
      <c r="GJ22" s="3">
        <f t="shared" si="12"/>
        <v>0</v>
      </c>
      <c r="GK22" s="17" t="e">
        <f t="shared" si="13"/>
        <v>#DIV/0!</v>
      </c>
      <c r="GL22" s="4" t="e">
        <f t="shared" si="14"/>
        <v>#DIV/0!</v>
      </c>
      <c r="GM22" s="3" t="e">
        <f t="shared" si="15"/>
        <v>#DIV/0!</v>
      </c>
      <c r="GN22" s="14">
        <f t="shared" si="16"/>
        <v>0.1</v>
      </c>
      <c r="GO22" s="3">
        <f t="shared" si="17"/>
        <v>0</v>
      </c>
      <c r="GP22" s="35">
        <f t="shared" si="18"/>
        <v>0</v>
      </c>
      <c r="GQ22" s="35">
        <f t="shared" si="19"/>
        <v>0</v>
      </c>
      <c r="GR22" s="35">
        <f t="shared" si="20"/>
        <v>0</v>
      </c>
    </row>
    <row r="23" spans="1:200" x14ac:dyDescent="0.35">
      <c r="A23" s="3" t="s">
        <v>44</v>
      </c>
      <c r="B23" s="2" t="s">
        <v>146</v>
      </c>
      <c r="C23" s="2" t="s">
        <v>154</v>
      </c>
      <c r="D23" s="2" t="s">
        <v>107</v>
      </c>
      <c r="E23" s="3" t="s">
        <v>70</v>
      </c>
      <c r="F23" s="18"/>
      <c r="G23" s="14">
        <v>1.3333333333333333</v>
      </c>
      <c r="H23" s="17">
        <v>0.68445</v>
      </c>
      <c r="I23" s="6">
        <v>-1.7129355138650124</v>
      </c>
      <c r="J23" s="4">
        <f t="shared" si="0"/>
        <v>-2.5026452098254253</v>
      </c>
      <c r="K23" s="3">
        <v>119869.27569325062</v>
      </c>
      <c r="L23" s="17">
        <v>2</v>
      </c>
      <c r="M23" s="17">
        <f t="shared" si="1"/>
        <v>133333.33333333331</v>
      </c>
      <c r="N23" s="4">
        <f t="shared" si="2"/>
        <v>1</v>
      </c>
      <c r="O23" s="3">
        <v>1</v>
      </c>
      <c r="P23" s="6">
        <f>68445/100000</f>
        <v>0.68445</v>
      </c>
      <c r="Q23" s="7">
        <v>0.342225</v>
      </c>
      <c r="R23" s="30">
        <v>1</v>
      </c>
      <c r="S23" s="30">
        <v>0</v>
      </c>
      <c r="T23" s="30">
        <f t="shared" si="3"/>
        <v>1</v>
      </c>
      <c r="V23" s="14">
        <v>1.3333333333333333</v>
      </c>
      <c r="W23" s="17">
        <v>1.7064900000000001</v>
      </c>
      <c r="X23" s="6">
        <v>1.0238162453349979</v>
      </c>
      <c r="Y23" s="4">
        <f t="shared" si="4"/>
        <v>0.59995443590938002</v>
      </c>
      <c r="Z23" s="3">
        <v>41787.796436039644</v>
      </c>
      <c r="AA23" s="17">
        <v>1</v>
      </c>
      <c r="AB23" s="17">
        <v>85324.5</v>
      </c>
      <c r="AC23" s="4">
        <f t="shared" si="5"/>
        <v>0.5</v>
      </c>
      <c r="AD23" s="6" t="s">
        <v>123</v>
      </c>
      <c r="AE23" s="3">
        <f>170649/100000</f>
        <v>1.7064900000000001</v>
      </c>
      <c r="AF23" s="7">
        <v>1.7064900000000001</v>
      </c>
      <c r="AG23" s="30">
        <v>1</v>
      </c>
      <c r="AH23" s="30">
        <v>1</v>
      </c>
      <c r="AI23" s="30">
        <f t="shared" si="6"/>
        <v>2</v>
      </c>
      <c r="AK23" s="14"/>
      <c r="AL23" s="17"/>
      <c r="AM23" s="3"/>
      <c r="AN23" s="4"/>
      <c r="AO23" s="3"/>
      <c r="AP23" s="17"/>
      <c r="AQ23" s="17"/>
      <c r="AR23" s="6"/>
      <c r="AS23" s="3"/>
      <c r="AT23" s="3"/>
      <c r="AU23" s="7"/>
      <c r="AV23" s="8"/>
      <c r="AW23" s="8"/>
      <c r="AX23" s="8"/>
      <c r="AZ23" s="14"/>
      <c r="BA23" s="17"/>
      <c r="BB23" s="3"/>
      <c r="BC23" s="4"/>
      <c r="BD23" s="3"/>
      <c r="BE23" s="17"/>
      <c r="BF23" s="17"/>
      <c r="BG23" s="6"/>
      <c r="BH23" s="3"/>
      <c r="BI23" s="3"/>
      <c r="BJ23" s="7"/>
      <c r="BK23" s="8"/>
      <c r="BL23" s="8"/>
      <c r="BM23" s="8"/>
      <c r="BO23" s="14"/>
      <c r="BP23" s="17"/>
      <c r="BQ23" s="3"/>
      <c r="BR23" s="4"/>
      <c r="BS23" s="3"/>
      <c r="BT23" s="17"/>
      <c r="BU23" s="17"/>
      <c r="BV23" s="6"/>
      <c r="BW23" s="3"/>
      <c r="BX23" s="3"/>
      <c r="BY23" s="7"/>
      <c r="BZ23" s="8"/>
      <c r="CA23" s="8"/>
      <c r="CB23" s="8"/>
      <c r="CD23" s="14"/>
      <c r="CE23" s="17"/>
      <c r="CF23" s="3"/>
      <c r="CG23" s="4"/>
      <c r="CH23" s="3"/>
      <c r="CI23" s="17"/>
      <c r="CJ23" s="17"/>
      <c r="CK23" s="6"/>
      <c r="CL23" s="3"/>
      <c r="CM23" s="3"/>
      <c r="CN23" s="7"/>
      <c r="CO23" s="8"/>
      <c r="CP23" s="8"/>
      <c r="CQ23" s="8"/>
      <c r="CS23" s="14"/>
      <c r="CT23" s="17"/>
      <c r="CU23" s="3"/>
      <c r="CV23" s="4"/>
      <c r="CW23" s="3"/>
      <c r="CX23" s="17"/>
      <c r="CY23" s="17"/>
      <c r="CZ23" s="6"/>
      <c r="DA23" s="3"/>
      <c r="DB23" s="3"/>
      <c r="DC23" s="7"/>
      <c r="DD23" s="8"/>
      <c r="DE23" s="8"/>
      <c r="DF23" s="8"/>
      <c r="DH23" s="14"/>
      <c r="DI23" s="17"/>
      <c r="DJ23" s="3"/>
      <c r="DK23" s="4"/>
      <c r="DL23" s="3"/>
      <c r="DM23" s="17"/>
      <c r="DN23" s="17"/>
      <c r="DO23" s="6"/>
      <c r="DP23" s="3"/>
      <c r="DQ23" s="3"/>
      <c r="DR23" s="7"/>
      <c r="DS23" s="8"/>
      <c r="DT23" s="8"/>
      <c r="DU23" s="8"/>
      <c r="DW23" s="14"/>
      <c r="DX23" s="17"/>
      <c r="DY23" s="3"/>
      <c r="DZ23" s="4"/>
      <c r="EA23" s="3"/>
      <c r="EB23" s="17"/>
      <c r="EC23" s="17"/>
      <c r="ED23" s="6"/>
      <c r="EE23" s="3"/>
      <c r="EF23" s="3"/>
      <c r="EG23" s="7"/>
      <c r="EH23" s="8"/>
      <c r="EI23" s="8"/>
      <c r="EJ23" s="8"/>
      <c r="EL23" s="14"/>
      <c r="EM23" s="17"/>
      <c r="EN23" s="3"/>
      <c r="EO23" s="4"/>
      <c r="EP23" s="3"/>
      <c r="EQ23" s="17"/>
      <c r="ER23" s="17"/>
      <c r="ES23" s="6"/>
      <c r="ET23" s="3"/>
      <c r="EU23" s="3"/>
      <c r="EV23" s="7"/>
      <c r="EW23" s="8"/>
      <c r="EX23" s="8"/>
      <c r="EY23" s="8"/>
      <c r="FA23" s="14"/>
      <c r="FB23" s="17"/>
      <c r="FC23" s="3"/>
      <c r="FD23" s="4"/>
      <c r="FE23" s="3"/>
      <c r="FF23" s="17"/>
      <c r="FG23" s="17"/>
      <c r="FH23" s="6"/>
      <c r="FI23" s="3"/>
      <c r="FJ23" s="3"/>
      <c r="FK23" s="7"/>
      <c r="FL23" s="8"/>
      <c r="FM23" s="8"/>
      <c r="FN23" s="8"/>
      <c r="FP23" s="14"/>
      <c r="FQ23" s="17"/>
      <c r="FR23" s="3"/>
      <c r="FS23" s="4"/>
      <c r="FT23" s="3"/>
      <c r="FU23" s="17"/>
      <c r="FV23" s="17"/>
      <c r="FW23" s="6"/>
      <c r="FX23" s="3"/>
      <c r="FY23" s="3"/>
      <c r="FZ23" s="7"/>
      <c r="GA23" s="8"/>
      <c r="GB23" s="8"/>
      <c r="GC23" s="8"/>
      <c r="GE23" s="14">
        <f t="shared" si="7"/>
        <v>2.6666666666666665</v>
      </c>
      <c r="GF23" s="14">
        <f t="shared" si="8"/>
        <v>2.3909400000000001</v>
      </c>
      <c r="GG23" s="14">
        <f t="shared" si="9"/>
        <v>-0.68911926853001448</v>
      </c>
      <c r="GH23" s="4">
        <f t="shared" si="10"/>
        <v>-0.28822106306725159</v>
      </c>
      <c r="GI23" s="3">
        <f t="shared" si="11"/>
        <v>80828.53606464513</v>
      </c>
      <c r="GJ23" s="3">
        <f t="shared" si="12"/>
        <v>1.5</v>
      </c>
      <c r="GK23" s="17">
        <f t="shared" si="13"/>
        <v>79698</v>
      </c>
      <c r="GL23" s="4">
        <f t="shared" si="14"/>
        <v>0.66666666666666663</v>
      </c>
      <c r="GM23" s="3">
        <f t="shared" si="15"/>
        <v>1</v>
      </c>
      <c r="GN23" s="14">
        <f t="shared" si="16"/>
        <v>2.3909400000000001</v>
      </c>
      <c r="GO23" s="3">
        <f t="shared" si="17"/>
        <v>1.0243575</v>
      </c>
      <c r="GP23" s="35">
        <f t="shared" si="18"/>
        <v>2</v>
      </c>
      <c r="GQ23" s="35">
        <f t="shared" si="19"/>
        <v>1</v>
      </c>
      <c r="GR23" s="35">
        <f t="shared" si="20"/>
        <v>3</v>
      </c>
    </row>
    <row r="24" spans="1:200" x14ac:dyDescent="0.35">
      <c r="A24" s="3" t="s">
        <v>45</v>
      </c>
      <c r="B24" s="2" t="s">
        <v>142</v>
      </c>
      <c r="C24" s="2" t="s">
        <v>127</v>
      </c>
      <c r="D24" s="2" t="s">
        <v>107</v>
      </c>
      <c r="E24" s="3" t="s">
        <v>85</v>
      </c>
      <c r="F24" s="18"/>
      <c r="G24" s="14">
        <v>10</v>
      </c>
      <c r="H24" s="17">
        <v>1.6505700000000001</v>
      </c>
      <c r="I24" s="6">
        <v>-4.5108021609739595</v>
      </c>
      <c r="J24" s="4">
        <f t="shared" si="0"/>
        <v>-2.7328754072677675</v>
      </c>
      <c r="K24" s="3">
        <v>123227.4432194792</v>
      </c>
      <c r="L24" s="17">
        <v>5</v>
      </c>
      <c r="M24" s="17">
        <f t="shared" si="1"/>
        <v>166666.66666666669</v>
      </c>
      <c r="N24" s="4">
        <f t="shared" si="2"/>
        <v>1</v>
      </c>
      <c r="O24" s="3">
        <v>2</v>
      </c>
      <c r="P24" s="6"/>
      <c r="Q24" s="7">
        <v>0.33011400000000002</v>
      </c>
      <c r="R24" s="30">
        <v>6</v>
      </c>
      <c r="S24" s="30">
        <v>0</v>
      </c>
      <c r="T24" s="30">
        <f t="shared" si="3"/>
        <v>6</v>
      </c>
      <c r="V24" s="14">
        <v>11</v>
      </c>
      <c r="W24" s="17">
        <v>2.4</v>
      </c>
      <c r="X24" s="6">
        <v>-4.3635281719064167</v>
      </c>
      <c r="Y24" s="4">
        <f t="shared" si="4"/>
        <v>-1.8181367382943403</v>
      </c>
      <c r="Z24" s="3">
        <v>114590.10121212121</v>
      </c>
      <c r="AA24" s="17">
        <v>6</v>
      </c>
      <c r="AB24" s="17">
        <v>26666.666666666668</v>
      </c>
      <c r="AC24" s="4">
        <f t="shared" si="5"/>
        <v>1</v>
      </c>
      <c r="AD24" s="6">
        <v>2.25</v>
      </c>
      <c r="AE24" s="3"/>
      <c r="AF24" s="7">
        <v>0.4</v>
      </c>
      <c r="AG24" s="30">
        <v>9</v>
      </c>
      <c r="AH24" s="30">
        <v>0</v>
      </c>
      <c r="AI24" s="30">
        <f t="shared" si="6"/>
        <v>9</v>
      </c>
      <c r="AK24" s="14"/>
      <c r="AL24" s="17"/>
      <c r="AM24" s="3"/>
      <c r="AN24" s="4"/>
      <c r="AO24" s="3"/>
      <c r="AP24" s="17"/>
      <c r="AQ24" s="17"/>
      <c r="AR24" s="6"/>
      <c r="AS24" s="3"/>
      <c r="AT24" s="3"/>
      <c r="AU24" s="7"/>
      <c r="AV24" s="8"/>
      <c r="AW24" s="8"/>
      <c r="AX24" s="8"/>
      <c r="AZ24" s="14"/>
      <c r="BA24" s="17"/>
      <c r="BB24" s="3"/>
      <c r="BC24" s="4"/>
      <c r="BD24" s="3"/>
      <c r="BE24" s="17"/>
      <c r="BF24" s="17"/>
      <c r="BG24" s="6"/>
      <c r="BH24" s="3"/>
      <c r="BI24" s="3"/>
      <c r="BJ24" s="7"/>
      <c r="BK24" s="8"/>
      <c r="BL24" s="8"/>
      <c r="BM24" s="8"/>
      <c r="BO24" s="14"/>
      <c r="BP24" s="17"/>
      <c r="BQ24" s="3"/>
      <c r="BR24" s="4"/>
      <c r="BS24" s="3"/>
      <c r="BT24" s="17"/>
      <c r="BU24" s="17"/>
      <c r="BV24" s="6"/>
      <c r="BW24" s="3"/>
      <c r="BX24" s="3"/>
      <c r="BY24" s="7"/>
      <c r="BZ24" s="8"/>
      <c r="CA24" s="8"/>
      <c r="CB24" s="8"/>
      <c r="CD24" s="14"/>
      <c r="CE24" s="17"/>
      <c r="CF24" s="3"/>
      <c r="CG24" s="4"/>
      <c r="CH24" s="3"/>
      <c r="CI24" s="17"/>
      <c r="CJ24" s="17"/>
      <c r="CK24" s="6"/>
      <c r="CL24" s="3"/>
      <c r="CM24" s="3"/>
      <c r="CN24" s="7"/>
      <c r="CO24" s="8"/>
      <c r="CP24" s="8"/>
      <c r="CQ24" s="8"/>
      <c r="CS24" s="14"/>
      <c r="CT24" s="17"/>
      <c r="CU24" s="3"/>
      <c r="CV24" s="4"/>
      <c r="CW24" s="3"/>
      <c r="CX24" s="17"/>
      <c r="CY24" s="17"/>
      <c r="CZ24" s="6"/>
      <c r="DA24" s="3"/>
      <c r="DB24" s="3"/>
      <c r="DC24" s="7"/>
      <c r="DD24" s="8"/>
      <c r="DE24" s="8"/>
      <c r="DF24" s="8"/>
      <c r="DH24" s="14"/>
      <c r="DI24" s="17"/>
      <c r="DJ24" s="3"/>
      <c r="DK24" s="4"/>
      <c r="DL24" s="3"/>
      <c r="DM24" s="17"/>
      <c r="DN24" s="17"/>
      <c r="DO24" s="6"/>
      <c r="DP24" s="3"/>
      <c r="DQ24" s="3"/>
      <c r="DR24" s="7"/>
      <c r="DS24" s="8"/>
      <c r="DT24" s="8"/>
      <c r="DU24" s="8"/>
      <c r="DW24" s="14"/>
      <c r="DX24" s="17"/>
      <c r="DY24" s="3"/>
      <c r="DZ24" s="4"/>
      <c r="EA24" s="3"/>
      <c r="EB24" s="17"/>
      <c r="EC24" s="17"/>
      <c r="ED24" s="6"/>
      <c r="EE24" s="3"/>
      <c r="EF24" s="3"/>
      <c r="EG24" s="7"/>
      <c r="EH24" s="8"/>
      <c r="EI24" s="8"/>
      <c r="EJ24" s="8"/>
      <c r="EL24" s="14"/>
      <c r="EM24" s="17"/>
      <c r="EN24" s="3"/>
      <c r="EO24" s="4"/>
      <c r="EP24" s="3"/>
      <c r="EQ24" s="17"/>
      <c r="ER24" s="17"/>
      <c r="ES24" s="6"/>
      <c r="ET24" s="3"/>
      <c r="EU24" s="3"/>
      <c r="EV24" s="7"/>
      <c r="EW24" s="8"/>
      <c r="EX24" s="8"/>
      <c r="EY24" s="8"/>
      <c r="FA24" s="14"/>
      <c r="FB24" s="17"/>
      <c r="FC24" s="3"/>
      <c r="FD24" s="4"/>
      <c r="FE24" s="3"/>
      <c r="FF24" s="17"/>
      <c r="FG24" s="17"/>
      <c r="FH24" s="6"/>
      <c r="FI24" s="3"/>
      <c r="FJ24" s="3"/>
      <c r="FK24" s="7"/>
      <c r="FL24" s="8"/>
      <c r="FM24" s="8"/>
      <c r="FN24" s="8"/>
      <c r="FP24" s="14"/>
      <c r="FQ24" s="17"/>
      <c r="FR24" s="3"/>
      <c r="FS24" s="4"/>
      <c r="FT24" s="3"/>
      <c r="FU24" s="17"/>
      <c r="FV24" s="17"/>
      <c r="FW24" s="6"/>
      <c r="FX24" s="3"/>
      <c r="FY24" s="3"/>
      <c r="FZ24" s="7"/>
      <c r="GA24" s="8"/>
      <c r="GB24" s="8"/>
      <c r="GC24" s="8"/>
      <c r="GE24" s="14">
        <f t="shared" si="7"/>
        <v>21</v>
      </c>
      <c r="GF24" s="14">
        <f t="shared" si="8"/>
        <v>4.0505700000000004</v>
      </c>
      <c r="GG24" s="14">
        <f t="shared" si="9"/>
        <v>-8.8743303328803762</v>
      </c>
      <c r="GH24" s="4">
        <f t="shared" si="10"/>
        <v>-2.1908843281020633</v>
      </c>
      <c r="GI24" s="3">
        <f t="shared" si="11"/>
        <v>118908.77221580021</v>
      </c>
      <c r="GJ24" s="3">
        <f t="shared" si="12"/>
        <v>5.5</v>
      </c>
      <c r="GK24" s="17">
        <f t="shared" si="13"/>
        <v>27003.800000000007</v>
      </c>
      <c r="GL24" s="4">
        <f t="shared" si="14"/>
        <v>1</v>
      </c>
      <c r="GM24" s="3">
        <f t="shared" si="15"/>
        <v>2.125</v>
      </c>
      <c r="GN24" s="14">
        <f t="shared" si="16"/>
        <v>0</v>
      </c>
      <c r="GO24" s="3">
        <f t="shared" si="17"/>
        <v>0.36505700000000002</v>
      </c>
      <c r="GP24" s="35">
        <f t="shared" si="18"/>
        <v>15</v>
      </c>
      <c r="GQ24" s="35">
        <f t="shared" si="19"/>
        <v>0</v>
      </c>
      <c r="GR24" s="35">
        <f t="shared" si="20"/>
        <v>15</v>
      </c>
    </row>
    <row r="25" spans="1:200" x14ac:dyDescent="0.35">
      <c r="A25" s="3" t="s">
        <v>3</v>
      </c>
      <c r="B25" s="2" t="s">
        <v>142</v>
      </c>
      <c r="C25" s="2" t="s">
        <v>83</v>
      </c>
      <c r="D25" s="2" t="s">
        <v>107</v>
      </c>
      <c r="E25" s="3" t="s">
        <v>2</v>
      </c>
      <c r="F25" s="18"/>
      <c r="G25" s="14">
        <v>7</v>
      </c>
      <c r="H25" s="17">
        <v>10.015700000000001</v>
      </c>
      <c r="I25" s="6">
        <v>4.43916494992152</v>
      </c>
      <c r="J25" s="4">
        <f t="shared" si="0"/>
        <v>0.44322063858956634</v>
      </c>
      <c r="K25" s="3">
        <v>110208.20257072098</v>
      </c>
      <c r="L25" s="17">
        <v>5.0599999999999996</v>
      </c>
      <c r="M25" s="17">
        <f t="shared" si="1"/>
        <v>50000</v>
      </c>
      <c r="N25" s="4">
        <f t="shared" si="2"/>
        <v>0.7857142857142857</v>
      </c>
      <c r="O25" s="3">
        <v>2.75</v>
      </c>
      <c r="P25" s="6"/>
      <c r="Q25" s="7">
        <v>1.9793873517786562</v>
      </c>
      <c r="R25" s="30">
        <v>11</v>
      </c>
      <c r="S25" s="30">
        <v>3</v>
      </c>
      <c r="T25" s="30">
        <f t="shared" si="3"/>
        <v>14</v>
      </c>
      <c r="V25" s="14">
        <v>7</v>
      </c>
      <c r="W25" s="17">
        <v>8.8180899999999998</v>
      </c>
      <c r="X25" s="6">
        <v>3.172030843201409</v>
      </c>
      <c r="Y25" s="4">
        <f t="shared" si="4"/>
        <v>0.35971858341221391</v>
      </c>
      <c r="Z25" s="3">
        <v>113802.88305021285</v>
      </c>
      <c r="AA25" s="17">
        <v>5.08</v>
      </c>
      <c r="AB25" s="17">
        <v>55113.0625</v>
      </c>
      <c r="AC25" s="4">
        <f t="shared" si="5"/>
        <v>1</v>
      </c>
      <c r="AD25" s="6">
        <v>4</v>
      </c>
      <c r="AE25" s="3"/>
      <c r="AF25" s="7">
        <v>1.7358444881889763</v>
      </c>
      <c r="AG25" s="30">
        <v>16</v>
      </c>
      <c r="AH25" s="30">
        <v>0</v>
      </c>
      <c r="AI25" s="30">
        <f t="shared" si="6"/>
        <v>16</v>
      </c>
      <c r="AK25" s="14"/>
      <c r="AL25" s="17"/>
      <c r="AM25" s="3"/>
      <c r="AN25" s="4"/>
      <c r="AO25" s="3"/>
      <c r="AP25" s="17"/>
      <c r="AQ25" s="17"/>
      <c r="AR25" s="6"/>
      <c r="AS25" s="3"/>
      <c r="AT25" s="3"/>
      <c r="AU25" s="7"/>
      <c r="AV25" s="8"/>
      <c r="AW25" s="8"/>
      <c r="AX25" s="8"/>
      <c r="AZ25" s="14"/>
      <c r="BA25" s="17"/>
      <c r="BB25" s="3"/>
      <c r="BC25" s="4"/>
      <c r="BD25" s="3"/>
      <c r="BE25" s="17"/>
      <c r="BF25" s="17"/>
      <c r="BG25" s="6"/>
      <c r="BH25" s="3"/>
      <c r="BI25" s="3"/>
      <c r="BJ25" s="7"/>
      <c r="BK25" s="8"/>
      <c r="BL25" s="8"/>
      <c r="BM25" s="8"/>
      <c r="BO25" s="14"/>
      <c r="BP25" s="17"/>
      <c r="BQ25" s="3"/>
      <c r="BR25" s="4"/>
      <c r="BS25" s="3"/>
      <c r="BT25" s="17"/>
      <c r="BU25" s="17"/>
      <c r="BV25" s="6"/>
      <c r="BW25" s="3"/>
      <c r="BX25" s="3"/>
      <c r="BY25" s="7"/>
      <c r="BZ25" s="8"/>
      <c r="CA25" s="8"/>
      <c r="CB25" s="8"/>
      <c r="CD25" s="14"/>
      <c r="CE25" s="17"/>
      <c r="CF25" s="3"/>
      <c r="CG25" s="4"/>
      <c r="CH25" s="3"/>
      <c r="CI25" s="17"/>
      <c r="CJ25" s="17"/>
      <c r="CK25" s="6"/>
      <c r="CL25" s="3"/>
      <c r="CM25" s="3"/>
      <c r="CN25" s="7"/>
      <c r="CO25" s="8"/>
      <c r="CP25" s="8"/>
      <c r="CQ25" s="8"/>
      <c r="CS25" s="14"/>
      <c r="CT25" s="17"/>
      <c r="CU25" s="3"/>
      <c r="CV25" s="4"/>
      <c r="CW25" s="3"/>
      <c r="CX25" s="17"/>
      <c r="CY25" s="17"/>
      <c r="CZ25" s="6"/>
      <c r="DA25" s="3"/>
      <c r="DB25" s="3"/>
      <c r="DC25" s="7"/>
      <c r="DD25" s="8"/>
      <c r="DE25" s="8"/>
      <c r="DF25" s="8"/>
      <c r="DH25" s="14"/>
      <c r="DI25" s="17"/>
      <c r="DJ25" s="3"/>
      <c r="DK25" s="4"/>
      <c r="DL25" s="3"/>
      <c r="DM25" s="17"/>
      <c r="DN25" s="17"/>
      <c r="DO25" s="6"/>
      <c r="DP25" s="3"/>
      <c r="DQ25" s="3"/>
      <c r="DR25" s="7"/>
      <c r="DS25" s="8"/>
      <c r="DT25" s="8"/>
      <c r="DU25" s="8"/>
      <c r="DW25" s="14"/>
      <c r="DX25" s="17"/>
      <c r="DY25" s="3"/>
      <c r="DZ25" s="4"/>
      <c r="EA25" s="3"/>
      <c r="EB25" s="17"/>
      <c r="EC25" s="17"/>
      <c r="ED25" s="6"/>
      <c r="EE25" s="3"/>
      <c r="EF25" s="3"/>
      <c r="EG25" s="7"/>
      <c r="EH25" s="8"/>
      <c r="EI25" s="8"/>
      <c r="EJ25" s="8"/>
      <c r="EL25" s="14"/>
      <c r="EM25" s="17"/>
      <c r="EN25" s="3"/>
      <c r="EO25" s="4"/>
      <c r="EP25" s="3"/>
      <c r="EQ25" s="17"/>
      <c r="ER25" s="17"/>
      <c r="ES25" s="6"/>
      <c r="ET25" s="3"/>
      <c r="EU25" s="3"/>
      <c r="EV25" s="7"/>
      <c r="EW25" s="8"/>
      <c r="EX25" s="8"/>
      <c r="EY25" s="8"/>
      <c r="FA25" s="14"/>
      <c r="FB25" s="17"/>
      <c r="FC25" s="3"/>
      <c r="FD25" s="4"/>
      <c r="FE25" s="3"/>
      <c r="FF25" s="17"/>
      <c r="FG25" s="17"/>
      <c r="FH25" s="6"/>
      <c r="FI25" s="3"/>
      <c r="FJ25" s="3"/>
      <c r="FK25" s="7"/>
      <c r="FL25" s="8"/>
      <c r="FM25" s="8"/>
      <c r="FN25" s="8"/>
      <c r="FP25" s="14"/>
      <c r="FQ25" s="17"/>
      <c r="FR25" s="3"/>
      <c r="FS25" s="4"/>
      <c r="FT25" s="3"/>
      <c r="FU25" s="17"/>
      <c r="FV25" s="17"/>
      <c r="FW25" s="6"/>
      <c r="FX25" s="3"/>
      <c r="FY25" s="3"/>
      <c r="FZ25" s="7"/>
      <c r="GA25" s="8"/>
      <c r="GB25" s="8"/>
      <c r="GC25" s="8"/>
      <c r="GE25" s="14">
        <f t="shared" si="7"/>
        <v>14</v>
      </c>
      <c r="GF25" s="14">
        <f t="shared" si="8"/>
        <v>18.83379</v>
      </c>
      <c r="GG25" s="14">
        <f t="shared" si="9"/>
        <v>7.6111957931229295</v>
      </c>
      <c r="GH25" s="4">
        <f t="shared" si="10"/>
        <v>0.40412449077551194</v>
      </c>
      <c r="GI25" s="3">
        <f t="shared" si="11"/>
        <v>112005.54281046693</v>
      </c>
      <c r="GJ25" s="3">
        <f t="shared" si="12"/>
        <v>5.07</v>
      </c>
      <c r="GK25" s="17">
        <f t="shared" si="13"/>
        <v>62779.3</v>
      </c>
      <c r="GL25" s="4">
        <f t="shared" si="14"/>
        <v>0.9</v>
      </c>
      <c r="GM25" s="3">
        <f t="shared" si="15"/>
        <v>3.375</v>
      </c>
      <c r="GN25" s="14">
        <f t="shared" si="16"/>
        <v>0</v>
      </c>
      <c r="GO25" s="3">
        <f t="shared" si="17"/>
        <v>1.8576159199838163</v>
      </c>
      <c r="GP25" s="35">
        <f t="shared" si="18"/>
        <v>27</v>
      </c>
      <c r="GQ25" s="35">
        <f t="shared" si="19"/>
        <v>3</v>
      </c>
      <c r="GR25" s="35">
        <f t="shared" si="20"/>
        <v>30</v>
      </c>
    </row>
    <row r="26" spans="1:200" x14ac:dyDescent="0.35">
      <c r="A26" s="3" t="s">
        <v>46</v>
      </c>
      <c r="B26" s="2" t="s">
        <v>146</v>
      </c>
      <c r="C26" s="2" t="s">
        <v>146</v>
      </c>
      <c r="D26" s="2" t="s">
        <v>107</v>
      </c>
      <c r="E26" s="3" t="s">
        <v>70</v>
      </c>
      <c r="F26" s="18"/>
      <c r="G26" s="14">
        <v>16</v>
      </c>
      <c r="H26" s="17">
        <v>24.223479999999999</v>
      </c>
      <c r="I26" s="6">
        <v>5.1380784314971217</v>
      </c>
      <c r="J26" s="4">
        <f t="shared" si="0"/>
        <v>0.21211148982297845</v>
      </c>
      <c r="K26" s="3">
        <v>92200.007577308585</v>
      </c>
      <c r="L26" s="17">
        <v>20.7</v>
      </c>
      <c r="M26" s="17">
        <f t="shared" si="1"/>
        <v>72727.272727272735</v>
      </c>
      <c r="N26" s="4">
        <f t="shared" si="2"/>
        <v>0.68181818181818177</v>
      </c>
      <c r="O26" s="3">
        <v>0.82417582417582425</v>
      </c>
      <c r="P26" s="6"/>
      <c r="Q26" s="7">
        <v>1.170216425120773</v>
      </c>
      <c r="R26" s="30">
        <v>15</v>
      </c>
      <c r="S26" s="30">
        <v>7</v>
      </c>
      <c r="T26" s="30">
        <f t="shared" si="3"/>
        <v>22</v>
      </c>
      <c r="V26" s="14">
        <v>16</v>
      </c>
      <c r="W26" s="17">
        <v>33.829000000000001</v>
      </c>
      <c r="X26" s="6">
        <v>13.897461479066308</v>
      </c>
      <c r="Y26" s="4">
        <f t="shared" si="4"/>
        <v>0.41081502495096833</v>
      </c>
      <c r="Z26" s="3">
        <v>99744.808007881526</v>
      </c>
      <c r="AA26" s="17">
        <v>20.74</v>
      </c>
      <c r="AB26" s="17">
        <v>67658</v>
      </c>
      <c r="AC26" s="4">
        <f t="shared" si="5"/>
        <v>0.82</v>
      </c>
      <c r="AD26" s="6">
        <v>2.077001013171226</v>
      </c>
      <c r="AE26" s="3"/>
      <c r="AF26" s="7">
        <v>1.6310993249758921</v>
      </c>
      <c r="AG26" s="30">
        <v>41</v>
      </c>
      <c r="AH26" s="30">
        <v>9</v>
      </c>
      <c r="AI26" s="30">
        <f t="shared" si="6"/>
        <v>50</v>
      </c>
      <c r="AK26" s="14"/>
      <c r="AL26" s="17"/>
      <c r="AM26" s="3"/>
      <c r="AN26" s="4"/>
      <c r="AO26" s="3"/>
      <c r="AP26" s="17"/>
      <c r="AQ26" s="17"/>
      <c r="AR26" s="6"/>
      <c r="AS26" s="3"/>
      <c r="AT26" s="3"/>
      <c r="AU26" s="7"/>
      <c r="AV26" s="8"/>
      <c r="AW26" s="8"/>
      <c r="AX26" s="8"/>
      <c r="AZ26" s="14"/>
      <c r="BA26" s="17"/>
      <c r="BB26" s="3"/>
      <c r="BC26" s="4"/>
      <c r="BD26" s="3"/>
      <c r="BE26" s="17"/>
      <c r="BF26" s="17"/>
      <c r="BG26" s="6"/>
      <c r="BH26" s="3"/>
      <c r="BI26" s="3"/>
      <c r="BJ26" s="7"/>
      <c r="BK26" s="8"/>
      <c r="BL26" s="8"/>
      <c r="BM26" s="8"/>
      <c r="BO26" s="14"/>
      <c r="BP26" s="17"/>
      <c r="BQ26" s="3"/>
      <c r="BR26" s="4"/>
      <c r="BS26" s="3"/>
      <c r="BT26" s="17"/>
      <c r="BU26" s="17"/>
      <c r="BV26" s="6"/>
      <c r="BW26" s="3"/>
      <c r="BX26" s="3"/>
      <c r="BY26" s="7"/>
      <c r="BZ26" s="8"/>
      <c r="CA26" s="8"/>
      <c r="CB26" s="8"/>
      <c r="CD26" s="14"/>
      <c r="CE26" s="17"/>
      <c r="CF26" s="3"/>
      <c r="CG26" s="4"/>
      <c r="CH26" s="3"/>
      <c r="CI26" s="17"/>
      <c r="CJ26" s="17"/>
      <c r="CK26" s="6"/>
      <c r="CL26" s="3"/>
      <c r="CM26" s="3"/>
      <c r="CN26" s="7"/>
      <c r="CO26" s="8"/>
      <c r="CP26" s="8"/>
      <c r="CQ26" s="8"/>
      <c r="CS26" s="14"/>
      <c r="CT26" s="17"/>
      <c r="CU26" s="3"/>
      <c r="CV26" s="4"/>
      <c r="CW26" s="3"/>
      <c r="CX26" s="17"/>
      <c r="CY26" s="17"/>
      <c r="CZ26" s="6"/>
      <c r="DA26" s="3"/>
      <c r="DB26" s="3"/>
      <c r="DC26" s="7"/>
      <c r="DD26" s="8"/>
      <c r="DE26" s="8"/>
      <c r="DF26" s="8"/>
      <c r="DH26" s="14"/>
      <c r="DI26" s="17"/>
      <c r="DJ26" s="3"/>
      <c r="DK26" s="4"/>
      <c r="DL26" s="3"/>
      <c r="DM26" s="17"/>
      <c r="DN26" s="17"/>
      <c r="DO26" s="6"/>
      <c r="DP26" s="3"/>
      <c r="DQ26" s="3"/>
      <c r="DR26" s="7"/>
      <c r="DS26" s="8"/>
      <c r="DT26" s="8"/>
      <c r="DU26" s="8"/>
      <c r="DW26" s="14"/>
      <c r="DX26" s="17"/>
      <c r="DY26" s="3"/>
      <c r="DZ26" s="4"/>
      <c r="EA26" s="3"/>
      <c r="EB26" s="17"/>
      <c r="EC26" s="17"/>
      <c r="ED26" s="6"/>
      <c r="EE26" s="3"/>
      <c r="EF26" s="3"/>
      <c r="EG26" s="7"/>
      <c r="EH26" s="8"/>
      <c r="EI26" s="8"/>
      <c r="EJ26" s="8"/>
      <c r="EL26" s="14"/>
      <c r="EM26" s="17"/>
      <c r="EN26" s="3"/>
      <c r="EO26" s="4"/>
      <c r="EP26" s="3"/>
      <c r="EQ26" s="17"/>
      <c r="ER26" s="17"/>
      <c r="ES26" s="6"/>
      <c r="ET26" s="3"/>
      <c r="EU26" s="3"/>
      <c r="EV26" s="7"/>
      <c r="EW26" s="8"/>
      <c r="EX26" s="8"/>
      <c r="EY26" s="8"/>
      <c r="FA26" s="14"/>
      <c r="FB26" s="17"/>
      <c r="FC26" s="3"/>
      <c r="FD26" s="4"/>
      <c r="FE26" s="3"/>
      <c r="FF26" s="17"/>
      <c r="FG26" s="17"/>
      <c r="FH26" s="6"/>
      <c r="FI26" s="3"/>
      <c r="FJ26" s="3"/>
      <c r="FK26" s="7"/>
      <c r="FL26" s="8"/>
      <c r="FM26" s="8"/>
      <c r="FN26" s="8"/>
      <c r="FP26" s="14"/>
      <c r="FQ26" s="17"/>
      <c r="FR26" s="3"/>
      <c r="FS26" s="4"/>
      <c r="FT26" s="3"/>
      <c r="FU26" s="17"/>
      <c r="FV26" s="17"/>
      <c r="FW26" s="6"/>
      <c r="FX26" s="3"/>
      <c r="FY26" s="3"/>
      <c r="FZ26" s="7"/>
      <c r="GA26" s="8"/>
      <c r="GB26" s="8"/>
      <c r="GC26" s="8"/>
      <c r="GE26" s="14">
        <f t="shared" si="7"/>
        <v>32</v>
      </c>
      <c r="GF26" s="14">
        <f t="shared" si="8"/>
        <v>58.052480000000003</v>
      </c>
      <c r="GG26" s="14">
        <f t="shared" si="9"/>
        <v>19.035539910563429</v>
      </c>
      <c r="GH26" s="4">
        <f t="shared" si="10"/>
        <v>0.32790226895669966</v>
      </c>
      <c r="GI26" s="3">
        <f t="shared" si="11"/>
        <v>95972.407792595055</v>
      </c>
      <c r="GJ26" s="3">
        <f t="shared" si="12"/>
        <v>20.72</v>
      </c>
      <c r="GK26" s="17">
        <f t="shared" si="13"/>
        <v>80628.444444444453</v>
      </c>
      <c r="GL26" s="4">
        <f t="shared" si="14"/>
        <v>0.77777777777777779</v>
      </c>
      <c r="GM26" s="3">
        <f t="shared" si="15"/>
        <v>1.4505884186735252</v>
      </c>
      <c r="GN26" s="14">
        <f t="shared" si="16"/>
        <v>0</v>
      </c>
      <c r="GO26" s="3">
        <f t="shared" si="17"/>
        <v>1.4006578750483325</v>
      </c>
      <c r="GP26" s="35">
        <f t="shared" si="18"/>
        <v>56</v>
      </c>
      <c r="GQ26" s="35">
        <f t="shared" si="19"/>
        <v>16</v>
      </c>
      <c r="GR26" s="35">
        <f t="shared" si="20"/>
        <v>72</v>
      </c>
    </row>
    <row r="27" spans="1:200" x14ac:dyDescent="0.35">
      <c r="A27" s="3" t="s">
        <v>63</v>
      </c>
      <c r="B27" s="2" t="s">
        <v>146</v>
      </c>
      <c r="C27" s="2" t="s">
        <v>84</v>
      </c>
      <c r="D27" s="2" t="s">
        <v>107</v>
      </c>
      <c r="E27" s="3" t="s">
        <v>70</v>
      </c>
      <c r="F27" s="18"/>
      <c r="G27" s="14">
        <v>0</v>
      </c>
      <c r="H27" s="17">
        <v>0</v>
      </c>
      <c r="I27" s="6">
        <v>0</v>
      </c>
      <c r="J27" s="4">
        <f t="shared" si="0"/>
        <v>0</v>
      </c>
      <c r="K27" s="3">
        <v>0</v>
      </c>
      <c r="L27" s="17">
        <v>0</v>
      </c>
      <c r="M27" s="17">
        <f t="shared" si="1"/>
        <v>0</v>
      </c>
      <c r="N27" s="4">
        <f t="shared" si="2"/>
        <v>0</v>
      </c>
      <c r="O27" s="3"/>
      <c r="P27" s="6"/>
      <c r="Q27" s="7"/>
      <c r="R27" s="30">
        <v>0</v>
      </c>
      <c r="S27" s="30">
        <v>0</v>
      </c>
      <c r="T27" s="30">
        <f t="shared" si="3"/>
        <v>0</v>
      </c>
      <c r="V27" s="14">
        <v>15</v>
      </c>
      <c r="W27" s="17">
        <v>0</v>
      </c>
      <c r="X27" s="6">
        <v>0</v>
      </c>
      <c r="Y27" s="4">
        <f t="shared" si="4"/>
        <v>0</v>
      </c>
      <c r="Z27" s="3"/>
      <c r="AA27" s="17">
        <v>0</v>
      </c>
      <c r="AB27" s="17"/>
      <c r="AC27" s="4">
        <f t="shared" si="5"/>
        <v>0</v>
      </c>
      <c r="AD27" s="6" t="s">
        <v>123</v>
      </c>
      <c r="AE27" s="3"/>
      <c r="AF27" s="7">
        <v>0</v>
      </c>
      <c r="AG27" s="30">
        <v>0</v>
      </c>
      <c r="AH27" s="30">
        <v>0</v>
      </c>
      <c r="AI27" s="30">
        <f t="shared" si="6"/>
        <v>0</v>
      </c>
      <c r="AK27" s="14"/>
      <c r="AL27" s="17"/>
      <c r="AM27" s="3"/>
      <c r="AN27" s="4"/>
      <c r="AO27" s="3"/>
      <c r="AP27" s="17"/>
      <c r="AQ27" s="17"/>
      <c r="AR27" s="6"/>
      <c r="AS27" s="3"/>
      <c r="AT27" s="3"/>
      <c r="AU27" s="7"/>
      <c r="AV27" s="8"/>
      <c r="AW27" s="8"/>
      <c r="AX27" s="8"/>
      <c r="AZ27" s="14"/>
      <c r="BA27" s="17"/>
      <c r="BB27" s="3"/>
      <c r="BC27" s="4"/>
      <c r="BD27" s="3"/>
      <c r="BE27" s="17"/>
      <c r="BF27" s="17"/>
      <c r="BG27" s="6"/>
      <c r="BH27" s="3"/>
      <c r="BI27" s="3"/>
      <c r="BJ27" s="7"/>
      <c r="BK27" s="8"/>
      <c r="BL27" s="8"/>
      <c r="BM27" s="8"/>
      <c r="BO27" s="14"/>
      <c r="BP27" s="17"/>
      <c r="BQ27" s="3"/>
      <c r="BR27" s="4"/>
      <c r="BS27" s="3"/>
      <c r="BT27" s="17"/>
      <c r="BU27" s="17"/>
      <c r="BV27" s="6"/>
      <c r="BW27" s="3"/>
      <c r="BX27" s="3"/>
      <c r="BY27" s="7"/>
      <c r="BZ27" s="8"/>
      <c r="CA27" s="8"/>
      <c r="CB27" s="8"/>
      <c r="CD27" s="14"/>
      <c r="CE27" s="17"/>
      <c r="CF27" s="3"/>
      <c r="CG27" s="4"/>
      <c r="CH27" s="3"/>
      <c r="CI27" s="17"/>
      <c r="CJ27" s="17"/>
      <c r="CK27" s="6"/>
      <c r="CL27" s="3"/>
      <c r="CM27" s="3"/>
      <c r="CN27" s="7"/>
      <c r="CO27" s="8"/>
      <c r="CP27" s="8"/>
      <c r="CQ27" s="8"/>
      <c r="CS27" s="14"/>
      <c r="CT27" s="17"/>
      <c r="CU27" s="3"/>
      <c r="CV27" s="4"/>
      <c r="CW27" s="3"/>
      <c r="CX27" s="17"/>
      <c r="CY27" s="17"/>
      <c r="CZ27" s="6"/>
      <c r="DA27" s="3"/>
      <c r="DB27" s="3"/>
      <c r="DC27" s="7"/>
      <c r="DD27" s="8"/>
      <c r="DE27" s="8"/>
      <c r="DF27" s="8"/>
      <c r="DH27" s="14"/>
      <c r="DI27" s="17"/>
      <c r="DJ27" s="3"/>
      <c r="DK27" s="4"/>
      <c r="DL27" s="3"/>
      <c r="DM27" s="17"/>
      <c r="DN27" s="17"/>
      <c r="DO27" s="6"/>
      <c r="DP27" s="3"/>
      <c r="DQ27" s="3"/>
      <c r="DR27" s="7"/>
      <c r="DS27" s="8"/>
      <c r="DT27" s="8"/>
      <c r="DU27" s="8"/>
      <c r="DW27" s="14"/>
      <c r="DX27" s="17"/>
      <c r="DY27" s="3"/>
      <c r="DZ27" s="4"/>
      <c r="EA27" s="3"/>
      <c r="EB27" s="17"/>
      <c r="EC27" s="17"/>
      <c r="ED27" s="6"/>
      <c r="EE27" s="3"/>
      <c r="EF27" s="3"/>
      <c r="EG27" s="7"/>
      <c r="EH27" s="8"/>
      <c r="EI27" s="8"/>
      <c r="EJ27" s="8"/>
      <c r="EL27" s="14"/>
      <c r="EM27" s="17"/>
      <c r="EN27" s="3"/>
      <c r="EO27" s="4"/>
      <c r="EP27" s="3"/>
      <c r="EQ27" s="17"/>
      <c r="ER27" s="17"/>
      <c r="ES27" s="6"/>
      <c r="ET27" s="3"/>
      <c r="EU27" s="3"/>
      <c r="EV27" s="7"/>
      <c r="EW27" s="8"/>
      <c r="EX27" s="8"/>
      <c r="EY27" s="8"/>
      <c r="FA27" s="14"/>
      <c r="FB27" s="17"/>
      <c r="FC27" s="3"/>
      <c r="FD27" s="4"/>
      <c r="FE27" s="3"/>
      <c r="FF27" s="17"/>
      <c r="FG27" s="17"/>
      <c r="FH27" s="6"/>
      <c r="FI27" s="3"/>
      <c r="FJ27" s="3"/>
      <c r="FK27" s="7"/>
      <c r="FL27" s="8"/>
      <c r="FM27" s="8"/>
      <c r="FN27" s="8"/>
      <c r="FP27" s="14"/>
      <c r="FQ27" s="17"/>
      <c r="FR27" s="3"/>
      <c r="FS27" s="4"/>
      <c r="FT27" s="3"/>
      <c r="FU27" s="17"/>
      <c r="FV27" s="17"/>
      <c r="FW27" s="6"/>
      <c r="FX27" s="3"/>
      <c r="FY27" s="3"/>
      <c r="FZ27" s="7"/>
      <c r="GA27" s="8"/>
      <c r="GB27" s="8"/>
      <c r="GC27" s="8"/>
      <c r="GE27" s="14">
        <f t="shared" si="7"/>
        <v>15</v>
      </c>
      <c r="GF27" s="14">
        <f t="shared" si="8"/>
        <v>0</v>
      </c>
      <c r="GG27" s="14">
        <f t="shared" si="9"/>
        <v>0</v>
      </c>
      <c r="GH27" s="4">
        <f t="shared" si="10"/>
        <v>0</v>
      </c>
      <c r="GI27" s="3">
        <f t="shared" si="11"/>
        <v>0</v>
      </c>
      <c r="GJ27" s="3">
        <f t="shared" si="12"/>
        <v>0</v>
      </c>
      <c r="GK27" s="17" t="e">
        <f t="shared" si="13"/>
        <v>#DIV/0!</v>
      </c>
      <c r="GL27" s="4" t="e">
        <f t="shared" si="14"/>
        <v>#DIV/0!</v>
      </c>
      <c r="GM27" s="3" t="e">
        <f t="shared" si="15"/>
        <v>#DIV/0!</v>
      </c>
      <c r="GN27" s="14">
        <f t="shared" si="16"/>
        <v>0</v>
      </c>
      <c r="GO27" s="3">
        <f t="shared" si="17"/>
        <v>0</v>
      </c>
      <c r="GP27" s="35">
        <f t="shared" si="18"/>
        <v>0</v>
      </c>
      <c r="GQ27" s="35">
        <f t="shared" si="19"/>
        <v>0</v>
      </c>
      <c r="GR27" s="35">
        <f t="shared" si="20"/>
        <v>0</v>
      </c>
    </row>
    <row r="28" spans="1:200" x14ac:dyDescent="0.35">
      <c r="A28" s="3" t="s">
        <v>47</v>
      </c>
      <c r="B28" s="2" t="s">
        <v>142</v>
      </c>
      <c r="C28" s="2" t="s">
        <v>127</v>
      </c>
      <c r="D28" s="2" t="s">
        <v>107</v>
      </c>
      <c r="E28" s="3" t="s">
        <v>85</v>
      </c>
      <c r="F28" s="18"/>
      <c r="G28" s="14">
        <v>12</v>
      </c>
      <c r="H28" s="17">
        <v>10.29</v>
      </c>
      <c r="I28" s="6">
        <v>-0.69067971858883337</v>
      </c>
      <c r="J28" s="4">
        <f t="shared" si="0"/>
        <v>-6.7121449814269527E-2</v>
      </c>
      <c r="K28" s="3">
        <v>81338.3682858432</v>
      </c>
      <c r="L28" s="17">
        <v>13.5</v>
      </c>
      <c r="M28" s="17">
        <f t="shared" si="1"/>
        <v>36363.636363636368</v>
      </c>
      <c r="N28" s="4">
        <f t="shared" si="2"/>
        <v>0.39393939393939392</v>
      </c>
      <c r="O28" s="3">
        <v>1.1403508771929824</v>
      </c>
      <c r="P28" s="6"/>
      <c r="Q28" s="7">
        <v>0.76222222222222213</v>
      </c>
      <c r="R28" s="30">
        <v>13</v>
      </c>
      <c r="S28" s="30">
        <v>20</v>
      </c>
      <c r="T28" s="30">
        <f t="shared" si="3"/>
        <v>33</v>
      </c>
      <c r="V28" s="14">
        <v>9</v>
      </c>
      <c r="W28" s="17">
        <v>13.3</v>
      </c>
      <c r="X28" s="6">
        <v>2.3387772635210111</v>
      </c>
      <c r="Y28" s="4">
        <f t="shared" si="4"/>
        <v>0.17584791455045196</v>
      </c>
      <c r="Z28" s="3">
        <v>84029.281284524477</v>
      </c>
      <c r="AA28" s="17">
        <v>13.2</v>
      </c>
      <c r="AB28" s="17">
        <v>27708.333333333336</v>
      </c>
      <c r="AC28" s="4">
        <f t="shared" si="5"/>
        <v>0.39583333333333331</v>
      </c>
      <c r="AD28" s="6">
        <v>1.7117117117117118</v>
      </c>
      <c r="AE28" s="3"/>
      <c r="AF28" s="7">
        <v>1.0075757575757576</v>
      </c>
      <c r="AG28" s="30">
        <v>19</v>
      </c>
      <c r="AH28" s="30">
        <v>29</v>
      </c>
      <c r="AI28" s="30">
        <f t="shared" si="6"/>
        <v>48</v>
      </c>
      <c r="AK28" s="14"/>
      <c r="AL28" s="17"/>
      <c r="AM28" s="3"/>
      <c r="AN28" s="4"/>
      <c r="AO28" s="3"/>
      <c r="AP28" s="17"/>
      <c r="AQ28" s="17"/>
      <c r="AR28" s="6"/>
      <c r="AS28" s="3"/>
      <c r="AT28" s="3"/>
      <c r="AU28" s="7"/>
      <c r="AV28" s="8"/>
      <c r="AW28" s="8"/>
      <c r="AX28" s="8"/>
      <c r="AZ28" s="14"/>
      <c r="BA28" s="17"/>
      <c r="BB28" s="3"/>
      <c r="BC28" s="4"/>
      <c r="BD28" s="3"/>
      <c r="BE28" s="17"/>
      <c r="BF28" s="17"/>
      <c r="BG28" s="6"/>
      <c r="BH28" s="3"/>
      <c r="BI28" s="3"/>
      <c r="BJ28" s="7"/>
      <c r="BK28" s="8"/>
      <c r="BL28" s="8"/>
      <c r="BM28" s="8"/>
      <c r="BO28" s="14"/>
      <c r="BP28" s="17"/>
      <c r="BQ28" s="3"/>
      <c r="BR28" s="4"/>
      <c r="BS28" s="3"/>
      <c r="BT28" s="17"/>
      <c r="BU28" s="17"/>
      <c r="BV28" s="6"/>
      <c r="BW28" s="3"/>
      <c r="BX28" s="3"/>
      <c r="BY28" s="7"/>
      <c r="BZ28" s="8"/>
      <c r="CA28" s="8"/>
      <c r="CB28" s="8"/>
      <c r="CD28" s="14"/>
      <c r="CE28" s="17"/>
      <c r="CF28" s="3"/>
      <c r="CG28" s="4"/>
      <c r="CH28" s="3"/>
      <c r="CI28" s="17"/>
      <c r="CJ28" s="17"/>
      <c r="CK28" s="6"/>
      <c r="CL28" s="3"/>
      <c r="CM28" s="3"/>
      <c r="CN28" s="7"/>
      <c r="CO28" s="8"/>
      <c r="CP28" s="8"/>
      <c r="CQ28" s="8"/>
      <c r="CS28" s="14"/>
      <c r="CT28" s="17"/>
      <c r="CU28" s="3"/>
      <c r="CV28" s="4"/>
      <c r="CW28" s="3"/>
      <c r="CX28" s="17"/>
      <c r="CY28" s="17"/>
      <c r="CZ28" s="6"/>
      <c r="DA28" s="3"/>
      <c r="DB28" s="3"/>
      <c r="DC28" s="7"/>
      <c r="DD28" s="8"/>
      <c r="DE28" s="8"/>
      <c r="DF28" s="8"/>
      <c r="DH28" s="14"/>
      <c r="DI28" s="17"/>
      <c r="DJ28" s="3"/>
      <c r="DK28" s="4"/>
      <c r="DL28" s="3"/>
      <c r="DM28" s="17"/>
      <c r="DN28" s="17"/>
      <c r="DO28" s="6"/>
      <c r="DP28" s="3"/>
      <c r="DQ28" s="3"/>
      <c r="DR28" s="7"/>
      <c r="DS28" s="8"/>
      <c r="DT28" s="8"/>
      <c r="DU28" s="8"/>
      <c r="DW28" s="14"/>
      <c r="DX28" s="17"/>
      <c r="DY28" s="3"/>
      <c r="DZ28" s="4"/>
      <c r="EA28" s="3"/>
      <c r="EB28" s="17"/>
      <c r="EC28" s="17"/>
      <c r="ED28" s="6"/>
      <c r="EE28" s="3"/>
      <c r="EF28" s="3"/>
      <c r="EG28" s="7"/>
      <c r="EH28" s="8"/>
      <c r="EI28" s="8"/>
      <c r="EJ28" s="8"/>
      <c r="EL28" s="14"/>
      <c r="EM28" s="17"/>
      <c r="EN28" s="3"/>
      <c r="EO28" s="4"/>
      <c r="EP28" s="3"/>
      <c r="EQ28" s="17"/>
      <c r="ER28" s="17"/>
      <c r="ES28" s="6"/>
      <c r="ET28" s="3"/>
      <c r="EU28" s="3"/>
      <c r="EV28" s="7"/>
      <c r="EW28" s="8"/>
      <c r="EX28" s="8"/>
      <c r="EY28" s="8"/>
      <c r="FA28" s="14"/>
      <c r="FB28" s="17"/>
      <c r="FC28" s="3"/>
      <c r="FD28" s="4"/>
      <c r="FE28" s="3"/>
      <c r="FF28" s="17"/>
      <c r="FG28" s="17"/>
      <c r="FH28" s="6"/>
      <c r="FI28" s="3"/>
      <c r="FJ28" s="3"/>
      <c r="FK28" s="7"/>
      <c r="FL28" s="8"/>
      <c r="FM28" s="8"/>
      <c r="FN28" s="8"/>
      <c r="FP28" s="14"/>
      <c r="FQ28" s="17"/>
      <c r="FR28" s="3"/>
      <c r="FS28" s="4"/>
      <c r="FT28" s="3"/>
      <c r="FU28" s="17"/>
      <c r="FV28" s="17"/>
      <c r="FW28" s="6"/>
      <c r="FX28" s="3"/>
      <c r="FY28" s="3"/>
      <c r="FZ28" s="7"/>
      <c r="GA28" s="8"/>
      <c r="GB28" s="8"/>
      <c r="GC28" s="8"/>
      <c r="GE28" s="14">
        <f t="shared" si="7"/>
        <v>21</v>
      </c>
      <c r="GF28" s="14">
        <f t="shared" si="8"/>
        <v>23.59</v>
      </c>
      <c r="GG28" s="14">
        <f t="shared" si="9"/>
        <v>1.6480975449321777</v>
      </c>
      <c r="GH28" s="4">
        <f t="shared" si="10"/>
        <v>6.9864245228155056E-2</v>
      </c>
      <c r="GI28" s="3">
        <f t="shared" si="11"/>
        <v>82683.824785183839</v>
      </c>
      <c r="GJ28" s="3">
        <f t="shared" si="12"/>
        <v>13.35</v>
      </c>
      <c r="GK28" s="17">
        <f t="shared" si="13"/>
        <v>29123.456790123459</v>
      </c>
      <c r="GL28" s="4">
        <f t="shared" si="14"/>
        <v>0.39506172839506171</v>
      </c>
      <c r="GM28" s="3">
        <f t="shared" si="15"/>
        <v>1.426031294452347</v>
      </c>
      <c r="GN28" s="14">
        <f t="shared" si="16"/>
        <v>0</v>
      </c>
      <c r="GO28" s="3">
        <f t="shared" si="17"/>
        <v>0.88489898989898985</v>
      </c>
      <c r="GP28" s="35">
        <f t="shared" si="18"/>
        <v>32</v>
      </c>
      <c r="GQ28" s="35">
        <f t="shared" si="19"/>
        <v>49</v>
      </c>
      <c r="GR28" s="35">
        <f t="shared" si="20"/>
        <v>81</v>
      </c>
    </row>
    <row r="29" spans="1:200" x14ac:dyDescent="0.35">
      <c r="A29" s="3" t="s">
        <v>5</v>
      </c>
      <c r="B29" s="2" t="s">
        <v>142</v>
      </c>
      <c r="C29" s="2" t="s">
        <v>83</v>
      </c>
      <c r="D29" s="2" t="s">
        <v>107</v>
      </c>
      <c r="E29" s="3" t="s">
        <v>2</v>
      </c>
      <c r="F29" s="18"/>
      <c r="G29" s="14">
        <v>4</v>
      </c>
      <c r="H29" s="17">
        <v>5.4947099999999995</v>
      </c>
      <c r="I29" s="6">
        <v>-0.50907056394349381</v>
      </c>
      <c r="J29" s="4">
        <f t="shared" si="0"/>
        <v>-9.2647394301699978E-2</v>
      </c>
      <c r="K29" s="3">
        <v>85039.384758406421</v>
      </c>
      <c r="L29" s="17">
        <v>7.06</v>
      </c>
      <c r="M29" s="17">
        <f t="shared" si="1"/>
        <v>44444.444444444445</v>
      </c>
      <c r="N29" s="4">
        <f t="shared" si="2"/>
        <v>0.88888888888888884</v>
      </c>
      <c r="O29" s="3">
        <v>1.3333333333333333</v>
      </c>
      <c r="P29" s="6"/>
      <c r="Q29" s="7">
        <v>0.77828753541076501</v>
      </c>
      <c r="R29" s="30">
        <v>8</v>
      </c>
      <c r="S29" s="30">
        <v>1</v>
      </c>
      <c r="T29" s="30">
        <f t="shared" si="3"/>
        <v>9</v>
      </c>
      <c r="V29" s="14">
        <v>4</v>
      </c>
      <c r="W29" s="17">
        <v>6.48</v>
      </c>
      <c r="X29" s="6">
        <v>6.4503771871255597E-2</v>
      </c>
      <c r="Y29" s="4">
        <f t="shared" si="4"/>
        <v>9.9542857826011716E-3</v>
      </c>
      <c r="Z29" s="3">
        <v>97434.779486887113</v>
      </c>
      <c r="AA29" s="17">
        <v>7.08</v>
      </c>
      <c r="AB29" s="17">
        <v>81000</v>
      </c>
      <c r="AC29" s="4">
        <f t="shared" si="5"/>
        <v>1</v>
      </c>
      <c r="AD29" s="6">
        <v>1.3333333333333333</v>
      </c>
      <c r="AE29" s="3">
        <f>648000/100000</f>
        <v>6.48</v>
      </c>
      <c r="AF29" s="7">
        <v>0.9152542372881356</v>
      </c>
      <c r="AG29" s="30">
        <v>8</v>
      </c>
      <c r="AH29" s="30">
        <v>0</v>
      </c>
      <c r="AI29" s="30">
        <f t="shared" si="6"/>
        <v>8</v>
      </c>
      <c r="AK29" s="14"/>
      <c r="AL29" s="17"/>
      <c r="AM29" s="3"/>
      <c r="AN29" s="4"/>
      <c r="AO29" s="3"/>
      <c r="AP29" s="17"/>
      <c r="AQ29" s="17"/>
      <c r="AR29" s="6"/>
      <c r="AS29" s="3"/>
      <c r="AT29" s="3"/>
      <c r="AU29" s="7"/>
      <c r="AV29" s="8"/>
      <c r="AW29" s="8"/>
      <c r="AX29" s="8"/>
      <c r="AZ29" s="14"/>
      <c r="BA29" s="17"/>
      <c r="BB29" s="3"/>
      <c r="BC29" s="4"/>
      <c r="BD29" s="3"/>
      <c r="BE29" s="17"/>
      <c r="BF29" s="17"/>
      <c r="BG29" s="6"/>
      <c r="BH29" s="3"/>
      <c r="BI29" s="3"/>
      <c r="BJ29" s="7"/>
      <c r="BK29" s="8"/>
      <c r="BL29" s="8"/>
      <c r="BM29" s="8"/>
      <c r="BO29" s="14"/>
      <c r="BP29" s="17"/>
      <c r="BQ29" s="3"/>
      <c r="BR29" s="4"/>
      <c r="BS29" s="3"/>
      <c r="BT29" s="17"/>
      <c r="BU29" s="17"/>
      <c r="BV29" s="6"/>
      <c r="BW29" s="3"/>
      <c r="BX29" s="3"/>
      <c r="BY29" s="7"/>
      <c r="BZ29" s="8"/>
      <c r="CA29" s="8"/>
      <c r="CB29" s="8"/>
      <c r="CD29" s="14"/>
      <c r="CE29" s="17"/>
      <c r="CF29" s="3"/>
      <c r="CG29" s="4"/>
      <c r="CH29" s="3"/>
      <c r="CI29" s="17"/>
      <c r="CJ29" s="17"/>
      <c r="CK29" s="6"/>
      <c r="CL29" s="3"/>
      <c r="CM29" s="3"/>
      <c r="CN29" s="7"/>
      <c r="CO29" s="8"/>
      <c r="CP29" s="8"/>
      <c r="CQ29" s="8"/>
      <c r="CS29" s="14"/>
      <c r="CT29" s="17"/>
      <c r="CU29" s="3"/>
      <c r="CV29" s="4"/>
      <c r="CW29" s="3"/>
      <c r="CX29" s="17"/>
      <c r="CY29" s="17"/>
      <c r="CZ29" s="6"/>
      <c r="DA29" s="3"/>
      <c r="DB29" s="3"/>
      <c r="DC29" s="7"/>
      <c r="DD29" s="8"/>
      <c r="DE29" s="8"/>
      <c r="DF29" s="8"/>
      <c r="DH29" s="14"/>
      <c r="DI29" s="17"/>
      <c r="DJ29" s="3"/>
      <c r="DK29" s="4"/>
      <c r="DL29" s="3"/>
      <c r="DM29" s="17"/>
      <c r="DN29" s="17"/>
      <c r="DO29" s="6"/>
      <c r="DP29" s="3"/>
      <c r="DQ29" s="3"/>
      <c r="DR29" s="7"/>
      <c r="DS29" s="8"/>
      <c r="DT29" s="8"/>
      <c r="DU29" s="8"/>
      <c r="DW29" s="14"/>
      <c r="DX29" s="17"/>
      <c r="DY29" s="3"/>
      <c r="DZ29" s="4"/>
      <c r="EA29" s="3"/>
      <c r="EB29" s="17"/>
      <c r="EC29" s="17"/>
      <c r="ED29" s="6"/>
      <c r="EE29" s="3"/>
      <c r="EF29" s="3"/>
      <c r="EG29" s="7"/>
      <c r="EH29" s="8"/>
      <c r="EI29" s="8"/>
      <c r="EJ29" s="8"/>
      <c r="EL29" s="14"/>
      <c r="EM29" s="17"/>
      <c r="EN29" s="3"/>
      <c r="EO29" s="4"/>
      <c r="EP29" s="3"/>
      <c r="EQ29" s="17"/>
      <c r="ER29" s="17"/>
      <c r="ES29" s="6"/>
      <c r="ET29" s="3"/>
      <c r="EU29" s="3"/>
      <c r="EV29" s="7"/>
      <c r="EW29" s="8"/>
      <c r="EX29" s="8"/>
      <c r="EY29" s="8"/>
      <c r="FA29" s="14"/>
      <c r="FB29" s="17"/>
      <c r="FC29" s="3"/>
      <c r="FD29" s="4"/>
      <c r="FE29" s="3"/>
      <c r="FF29" s="17"/>
      <c r="FG29" s="17"/>
      <c r="FH29" s="6"/>
      <c r="FI29" s="3"/>
      <c r="FJ29" s="3"/>
      <c r="FK29" s="7"/>
      <c r="FL29" s="8"/>
      <c r="FM29" s="8"/>
      <c r="FN29" s="8"/>
      <c r="FP29" s="14"/>
      <c r="FQ29" s="17"/>
      <c r="FR29" s="3"/>
      <c r="FS29" s="4"/>
      <c r="FT29" s="3"/>
      <c r="FU29" s="17"/>
      <c r="FV29" s="17"/>
      <c r="FW29" s="6"/>
      <c r="FX29" s="3"/>
      <c r="FY29" s="3"/>
      <c r="FZ29" s="7"/>
      <c r="GA29" s="8"/>
      <c r="GB29" s="8"/>
      <c r="GC29" s="8"/>
      <c r="GE29" s="14">
        <f t="shared" si="7"/>
        <v>8</v>
      </c>
      <c r="GF29" s="14">
        <f t="shared" si="8"/>
        <v>11.97471</v>
      </c>
      <c r="GG29" s="14">
        <f t="shared" si="9"/>
        <v>-0.4445667920722382</v>
      </c>
      <c r="GH29" s="4">
        <f t="shared" si="10"/>
        <v>-3.7125474610427991E-2</v>
      </c>
      <c r="GI29" s="3">
        <f t="shared" si="11"/>
        <v>91237.082122646767</v>
      </c>
      <c r="GJ29" s="3">
        <f t="shared" si="12"/>
        <v>7.07</v>
      </c>
      <c r="GK29" s="17">
        <f t="shared" si="13"/>
        <v>70439.470588235301</v>
      </c>
      <c r="GL29" s="4">
        <f t="shared" si="14"/>
        <v>0.94117647058823528</v>
      </c>
      <c r="GM29" s="3">
        <f t="shared" si="15"/>
        <v>1.3333333333333333</v>
      </c>
      <c r="GN29" s="14">
        <f t="shared" si="16"/>
        <v>6.48</v>
      </c>
      <c r="GO29" s="3">
        <f t="shared" si="17"/>
        <v>0.8467708863494503</v>
      </c>
      <c r="GP29" s="35">
        <f t="shared" si="18"/>
        <v>16</v>
      </c>
      <c r="GQ29" s="35">
        <f t="shared" si="19"/>
        <v>1</v>
      </c>
      <c r="GR29" s="35">
        <f t="shared" si="20"/>
        <v>17</v>
      </c>
    </row>
    <row r="30" spans="1:200" x14ac:dyDescent="0.35">
      <c r="A30" s="3" t="s">
        <v>21</v>
      </c>
      <c r="B30" s="2" t="s">
        <v>142</v>
      </c>
      <c r="C30" s="2" t="s">
        <v>84</v>
      </c>
      <c r="D30" s="2" t="s">
        <v>107</v>
      </c>
      <c r="E30" s="3" t="s">
        <v>2</v>
      </c>
      <c r="F30" s="18"/>
      <c r="G30" s="14">
        <v>0</v>
      </c>
      <c r="H30" s="17">
        <v>0</v>
      </c>
      <c r="I30" s="6">
        <v>0</v>
      </c>
      <c r="J30" s="4">
        <f t="shared" si="0"/>
        <v>0</v>
      </c>
      <c r="K30" s="3">
        <v>0</v>
      </c>
      <c r="L30" s="17">
        <v>0</v>
      </c>
      <c r="M30" s="17">
        <f t="shared" si="1"/>
        <v>0</v>
      </c>
      <c r="N30" s="4">
        <f t="shared" si="2"/>
        <v>0</v>
      </c>
      <c r="O30" s="3"/>
      <c r="P30" s="6"/>
      <c r="Q30" s="7"/>
      <c r="R30" s="30">
        <v>0</v>
      </c>
      <c r="S30" s="30">
        <v>0</v>
      </c>
      <c r="T30" s="30">
        <f t="shared" si="3"/>
        <v>0</v>
      </c>
      <c r="V30" s="14">
        <v>0</v>
      </c>
      <c r="W30" s="17">
        <v>0</v>
      </c>
      <c r="X30" s="6">
        <v>0</v>
      </c>
      <c r="Y30" s="4">
        <f t="shared" si="4"/>
        <v>0</v>
      </c>
      <c r="Z30" s="3"/>
      <c r="AA30" s="17">
        <v>0</v>
      </c>
      <c r="AB30" s="17"/>
      <c r="AC30" s="4">
        <f t="shared" si="5"/>
        <v>0</v>
      </c>
      <c r="AD30" s="6" t="s">
        <v>123</v>
      </c>
      <c r="AE30" s="3"/>
      <c r="AF30" s="7">
        <v>0</v>
      </c>
      <c r="AG30" s="30">
        <v>0</v>
      </c>
      <c r="AH30" s="30">
        <v>0</v>
      </c>
      <c r="AI30" s="30">
        <f t="shared" si="6"/>
        <v>0</v>
      </c>
      <c r="AK30" s="14"/>
      <c r="AL30" s="17"/>
      <c r="AM30" s="3"/>
      <c r="AN30" s="4"/>
      <c r="AO30" s="3"/>
      <c r="AP30" s="17"/>
      <c r="AQ30" s="17"/>
      <c r="AR30" s="6"/>
      <c r="AS30" s="3"/>
      <c r="AT30" s="3"/>
      <c r="AU30" s="7"/>
      <c r="AV30" s="8"/>
      <c r="AW30" s="8"/>
      <c r="AX30" s="8"/>
      <c r="AZ30" s="14"/>
      <c r="BA30" s="17"/>
      <c r="BB30" s="3"/>
      <c r="BC30" s="4"/>
      <c r="BD30" s="3"/>
      <c r="BE30" s="17"/>
      <c r="BF30" s="17"/>
      <c r="BG30" s="6"/>
      <c r="BH30" s="3"/>
      <c r="BI30" s="3"/>
      <c r="BJ30" s="7"/>
      <c r="BK30" s="8"/>
      <c r="BL30" s="8"/>
      <c r="BM30" s="8"/>
      <c r="BO30" s="14"/>
      <c r="BP30" s="17"/>
      <c r="BQ30" s="3"/>
      <c r="BR30" s="4"/>
      <c r="BS30" s="3"/>
      <c r="BT30" s="17"/>
      <c r="BU30" s="17"/>
      <c r="BV30" s="6"/>
      <c r="BW30" s="3"/>
      <c r="BX30" s="3"/>
      <c r="BY30" s="7"/>
      <c r="BZ30" s="8"/>
      <c r="CA30" s="8"/>
      <c r="CB30" s="8"/>
      <c r="CD30" s="14"/>
      <c r="CE30" s="17"/>
      <c r="CF30" s="3"/>
      <c r="CG30" s="4"/>
      <c r="CH30" s="3"/>
      <c r="CI30" s="17"/>
      <c r="CJ30" s="17"/>
      <c r="CK30" s="6"/>
      <c r="CL30" s="3"/>
      <c r="CM30" s="3"/>
      <c r="CN30" s="7"/>
      <c r="CO30" s="8"/>
      <c r="CP30" s="8"/>
      <c r="CQ30" s="8"/>
      <c r="CS30" s="14"/>
      <c r="CT30" s="17"/>
      <c r="CU30" s="3"/>
      <c r="CV30" s="4"/>
      <c r="CW30" s="3"/>
      <c r="CX30" s="17"/>
      <c r="CY30" s="17"/>
      <c r="CZ30" s="6"/>
      <c r="DA30" s="3"/>
      <c r="DB30" s="3"/>
      <c r="DC30" s="7"/>
      <c r="DD30" s="8"/>
      <c r="DE30" s="8"/>
      <c r="DF30" s="8"/>
      <c r="DH30" s="14"/>
      <c r="DI30" s="17"/>
      <c r="DJ30" s="3"/>
      <c r="DK30" s="4"/>
      <c r="DL30" s="3"/>
      <c r="DM30" s="17"/>
      <c r="DN30" s="17"/>
      <c r="DO30" s="6"/>
      <c r="DP30" s="3"/>
      <c r="DQ30" s="3"/>
      <c r="DR30" s="7"/>
      <c r="DS30" s="8"/>
      <c r="DT30" s="8"/>
      <c r="DU30" s="8"/>
      <c r="DW30" s="14"/>
      <c r="DX30" s="17"/>
      <c r="DY30" s="3"/>
      <c r="DZ30" s="4"/>
      <c r="EA30" s="3"/>
      <c r="EB30" s="17"/>
      <c r="EC30" s="17"/>
      <c r="ED30" s="6"/>
      <c r="EE30" s="3"/>
      <c r="EF30" s="3"/>
      <c r="EG30" s="7"/>
      <c r="EH30" s="8"/>
      <c r="EI30" s="8"/>
      <c r="EJ30" s="8"/>
      <c r="EL30" s="14"/>
      <c r="EM30" s="17"/>
      <c r="EN30" s="3"/>
      <c r="EO30" s="4"/>
      <c r="EP30" s="3"/>
      <c r="EQ30" s="17"/>
      <c r="ER30" s="17"/>
      <c r="ES30" s="6"/>
      <c r="ET30" s="3"/>
      <c r="EU30" s="3"/>
      <c r="EV30" s="7"/>
      <c r="EW30" s="8"/>
      <c r="EX30" s="8"/>
      <c r="EY30" s="8"/>
      <c r="FA30" s="14"/>
      <c r="FB30" s="17"/>
      <c r="FC30" s="3"/>
      <c r="FD30" s="4"/>
      <c r="FE30" s="3"/>
      <c r="FF30" s="17"/>
      <c r="FG30" s="17"/>
      <c r="FH30" s="6"/>
      <c r="FI30" s="3"/>
      <c r="FJ30" s="3"/>
      <c r="FK30" s="7"/>
      <c r="FL30" s="8"/>
      <c r="FM30" s="8"/>
      <c r="FN30" s="8"/>
      <c r="FP30" s="14"/>
      <c r="FQ30" s="17"/>
      <c r="FR30" s="3"/>
      <c r="FS30" s="4"/>
      <c r="FT30" s="3"/>
      <c r="FU30" s="17"/>
      <c r="FV30" s="17"/>
      <c r="FW30" s="6"/>
      <c r="FX30" s="3"/>
      <c r="FY30" s="3"/>
      <c r="FZ30" s="7"/>
      <c r="GA30" s="8"/>
      <c r="GB30" s="8"/>
      <c r="GC30" s="8"/>
      <c r="GE30" s="14">
        <f t="shared" si="7"/>
        <v>0</v>
      </c>
      <c r="GF30" s="14">
        <f t="shared" si="8"/>
        <v>0</v>
      </c>
      <c r="GG30" s="14">
        <f t="shared" si="9"/>
        <v>0</v>
      </c>
      <c r="GH30" s="4">
        <f t="shared" si="10"/>
        <v>0</v>
      </c>
      <c r="GI30" s="3">
        <f t="shared" si="11"/>
        <v>0</v>
      </c>
      <c r="GJ30" s="3">
        <f t="shared" si="12"/>
        <v>0</v>
      </c>
      <c r="GK30" s="17" t="e">
        <f t="shared" si="13"/>
        <v>#DIV/0!</v>
      </c>
      <c r="GL30" s="4" t="e">
        <f t="shared" si="14"/>
        <v>#DIV/0!</v>
      </c>
      <c r="GM30" s="3" t="e">
        <f t="shared" si="15"/>
        <v>#DIV/0!</v>
      </c>
      <c r="GN30" s="14">
        <f t="shared" si="16"/>
        <v>0</v>
      </c>
      <c r="GO30" s="3">
        <f t="shared" si="17"/>
        <v>0</v>
      </c>
      <c r="GP30" s="35">
        <f t="shared" si="18"/>
        <v>0</v>
      </c>
      <c r="GQ30" s="35">
        <f t="shared" si="19"/>
        <v>0</v>
      </c>
      <c r="GR30" s="35">
        <f t="shared" si="20"/>
        <v>0</v>
      </c>
    </row>
    <row r="31" spans="1:200" x14ac:dyDescent="0.35">
      <c r="A31" s="3" t="s">
        <v>48</v>
      </c>
      <c r="B31" s="2" t="s">
        <v>142</v>
      </c>
      <c r="C31" s="2" t="s">
        <v>127</v>
      </c>
      <c r="D31" s="2" t="s">
        <v>107</v>
      </c>
      <c r="E31" s="3" t="s">
        <v>85</v>
      </c>
      <c r="F31" s="18"/>
      <c r="G31" s="14">
        <v>35</v>
      </c>
      <c r="H31" s="17">
        <v>26.5</v>
      </c>
      <c r="I31" s="6">
        <v>-1.8190944930488069</v>
      </c>
      <c r="J31" s="4">
        <f t="shared" si="0"/>
        <v>-6.8645075209388937E-2</v>
      </c>
      <c r="K31" s="3">
        <v>95511.279909102217</v>
      </c>
      <c r="L31" s="17">
        <v>29.65</v>
      </c>
      <c r="M31" s="17">
        <f t="shared" si="1"/>
        <v>49295.774647887323</v>
      </c>
      <c r="N31" s="4">
        <f t="shared" si="2"/>
        <v>0.74647887323943662</v>
      </c>
      <c r="O31" s="3">
        <v>2.1370967741935485</v>
      </c>
      <c r="P31" s="6"/>
      <c r="Q31" s="7">
        <v>0.89376053962900504</v>
      </c>
      <c r="R31" s="30">
        <v>53</v>
      </c>
      <c r="S31" s="30">
        <v>18</v>
      </c>
      <c r="T31" s="30">
        <f t="shared" si="3"/>
        <v>71</v>
      </c>
      <c r="V31" s="14">
        <v>35</v>
      </c>
      <c r="W31" s="17">
        <v>35</v>
      </c>
      <c r="X31" s="6">
        <v>10.440984429190623</v>
      </c>
      <c r="Y31" s="4">
        <f t="shared" si="4"/>
        <v>0.2983138408340178</v>
      </c>
      <c r="Z31" s="3">
        <v>97184.031150043622</v>
      </c>
      <c r="AA31" s="17">
        <v>25.349999999999998</v>
      </c>
      <c r="AB31" s="17">
        <v>43209.876543209873</v>
      </c>
      <c r="AC31" s="4">
        <f t="shared" si="5"/>
        <v>1</v>
      </c>
      <c r="AD31" s="6">
        <v>3.6</v>
      </c>
      <c r="AE31" s="3"/>
      <c r="AF31" s="7">
        <v>1.3806706114398424</v>
      </c>
      <c r="AG31" s="30">
        <v>81</v>
      </c>
      <c r="AH31" s="30">
        <v>0</v>
      </c>
      <c r="AI31" s="30">
        <f t="shared" si="6"/>
        <v>81</v>
      </c>
      <c r="AK31" s="14"/>
      <c r="AL31" s="17"/>
      <c r="AM31" s="3"/>
      <c r="AN31" s="4"/>
      <c r="AO31" s="3"/>
      <c r="AP31" s="17"/>
      <c r="AQ31" s="17"/>
      <c r="AR31" s="6"/>
      <c r="AS31" s="3"/>
      <c r="AT31" s="3"/>
      <c r="AU31" s="7"/>
      <c r="AV31" s="8"/>
      <c r="AW31" s="8"/>
      <c r="AX31" s="8"/>
      <c r="AZ31" s="14"/>
      <c r="BA31" s="17"/>
      <c r="BB31" s="3"/>
      <c r="BC31" s="4"/>
      <c r="BD31" s="3"/>
      <c r="BE31" s="17"/>
      <c r="BF31" s="17"/>
      <c r="BG31" s="6"/>
      <c r="BH31" s="3"/>
      <c r="BI31" s="3"/>
      <c r="BJ31" s="7"/>
      <c r="BK31" s="8"/>
      <c r="BL31" s="8"/>
      <c r="BM31" s="8"/>
      <c r="BO31" s="14"/>
      <c r="BP31" s="17"/>
      <c r="BQ31" s="3"/>
      <c r="BR31" s="4"/>
      <c r="BS31" s="3"/>
      <c r="BT31" s="17"/>
      <c r="BU31" s="17"/>
      <c r="BV31" s="6"/>
      <c r="BW31" s="3"/>
      <c r="BX31" s="3"/>
      <c r="BY31" s="7"/>
      <c r="BZ31" s="8"/>
      <c r="CA31" s="8"/>
      <c r="CB31" s="8"/>
      <c r="CD31" s="14"/>
      <c r="CE31" s="17"/>
      <c r="CF31" s="3"/>
      <c r="CG31" s="4"/>
      <c r="CH31" s="3"/>
      <c r="CI31" s="17"/>
      <c r="CJ31" s="17"/>
      <c r="CK31" s="6"/>
      <c r="CL31" s="3"/>
      <c r="CM31" s="3"/>
      <c r="CN31" s="7"/>
      <c r="CO31" s="8"/>
      <c r="CP31" s="8"/>
      <c r="CQ31" s="8"/>
      <c r="CS31" s="14"/>
      <c r="CT31" s="17"/>
      <c r="CU31" s="3"/>
      <c r="CV31" s="4"/>
      <c r="CW31" s="3"/>
      <c r="CX31" s="17"/>
      <c r="CY31" s="17"/>
      <c r="CZ31" s="6"/>
      <c r="DA31" s="3"/>
      <c r="DB31" s="3"/>
      <c r="DC31" s="7"/>
      <c r="DD31" s="8"/>
      <c r="DE31" s="8"/>
      <c r="DF31" s="8"/>
      <c r="DH31" s="14"/>
      <c r="DI31" s="17"/>
      <c r="DJ31" s="3"/>
      <c r="DK31" s="4"/>
      <c r="DL31" s="3"/>
      <c r="DM31" s="17"/>
      <c r="DN31" s="17"/>
      <c r="DO31" s="6"/>
      <c r="DP31" s="3"/>
      <c r="DQ31" s="3"/>
      <c r="DR31" s="7"/>
      <c r="DS31" s="8"/>
      <c r="DT31" s="8"/>
      <c r="DU31" s="8"/>
      <c r="DW31" s="14"/>
      <c r="DX31" s="17"/>
      <c r="DY31" s="3"/>
      <c r="DZ31" s="4"/>
      <c r="EA31" s="3"/>
      <c r="EB31" s="17"/>
      <c r="EC31" s="17"/>
      <c r="ED31" s="6"/>
      <c r="EE31" s="3"/>
      <c r="EF31" s="3"/>
      <c r="EG31" s="7"/>
      <c r="EH31" s="8"/>
      <c r="EI31" s="8"/>
      <c r="EJ31" s="8"/>
      <c r="EL31" s="14"/>
      <c r="EM31" s="17"/>
      <c r="EN31" s="3"/>
      <c r="EO31" s="4"/>
      <c r="EP31" s="3"/>
      <c r="EQ31" s="17"/>
      <c r="ER31" s="17"/>
      <c r="ES31" s="6"/>
      <c r="ET31" s="3"/>
      <c r="EU31" s="3"/>
      <c r="EV31" s="7"/>
      <c r="EW31" s="8"/>
      <c r="EX31" s="8"/>
      <c r="EY31" s="8"/>
      <c r="FA31" s="14"/>
      <c r="FB31" s="17"/>
      <c r="FC31" s="3"/>
      <c r="FD31" s="4"/>
      <c r="FE31" s="3"/>
      <c r="FF31" s="17"/>
      <c r="FG31" s="17"/>
      <c r="FH31" s="6"/>
      <c r="FI31" s="3"/>
      <c r="FJ31" s="3"/>
      <c r="FK31" s="7"/>
      <c r="FL31" s="8"/>
      <c r="FM31" s="8"/>
      <c r="FN31" s="8"/>
      <c r="FP31" s="14"/>
      <c r="FQ31" s="17"/>
      <c r="FR31" s="3"/>
      <c r="FS31" s="4"/>
      <c r="FT31" s="3"/>
      <c r="FU31" s="17"/>
      <c r="FV31" s="17"/>
      <c r="FW31" s="6"/>
      <c r="FX31" s="3"/>
      <c r="FY31" s="3"/>
      <c r="FZ31" s="7"/>
      <c r="GA31" s="8"/>
      <c r="GB31" s="8"/>
      <c r="GC31" s="8"/>
      <c r="GE31" s="14">
        <f t="shared" si="7"/>
        <v>70</v>
      </c>
      <c r="GF31" s="14">
        <f t="shared" si="8"/>
        <v>61.5</v>
      </c>
      <c r="GG31" s="14">
        <f t="shared" si="9"/>
        <v>8.621889936141816</v>
      </c>
      <c r="GH31" s="4">
        <f t="shared" si="10"/>
        <v>0.14019333229498887</v>
      </c>
      <c r="GI31" s="3">
        <f t="shared" si="11"/>
        <v>96347.655529572919</v>
      </c>
      <c r="GJ31" s="3">
        <f t="shared" si="12"/>
        <v>27.5</v>
      </c>
      <c r="GK31" s="17">
        <f t="shared" si="13"/>
        <v>40460.526315789473</v>
      </c>
      <c r="GL31" s="4">
        <f t="shared" si="14"/>
        <v>0.88157894736842102</v>
      </c>
      <c r="GM31" s="3">
        <f t="shared" si="15"/>
        <v>2.8685483870967743</v>
      </c>
      <c r="GN31" s="14">
        <f t="shared" si="16"/>
        <v>0</v>
      </c>
      <c r="GO31" s="3">
        <f t="shared" si="17"/>
        <v>1.1372155755344238</v>
      </c>
      <c r="GP31" s="35">
        <f t="shared" si="18"/>
        <v>134</v>
      </c>
      <c r="GQ31" s="35">
        <f t="shared" si="19"/>
        <v>18</v>
      </c>
      <c r="GR31" s="35">
        <f t="shared" si="20"/>
        <v>152</v>
      </c>
    </row>
    <row r="32" spans="1:200" x14ac:dyDescent="0.35">
      <c r="A32" s="3" t="s">
        <v>14</v>
      </c>
      <c r="B32" s="2" t="s">
        <v>142</v>
      </c>
      <c r="C32" s="2" t="s">
        <v>83</v>
      </c>
      <c r="D32" s="2" t="s">
        <v>107</v>
      </c>
      <c r="E32" s="3" t="s">
        <v>2</v>
      </c>
      <c r="F32" s="18"/>
      <c r="G32" s="14">
        <v>20.91</v>
      </c>
      <c r="H32" s="17">
        <v>30.8</v>
      </c>
      <c r="I32" s="6">
        <v>17.552199829209957</v>
      </c>
      <c r="J32" s="4">
        <f t="shared" si="0"/>
        <v>0.56987661783149213</v>
      </c>
      <c r="K32" s="3">
        <v>86813.893648689671</v>
      </c>
      <c r="L32" s="17">
        <v>15.26</v>
      </c>
      <c r="M32" s="17">
        <f t="shared" si="1"/>
        <v>20910</v>
      </c>
      <c r="N32" s="4">
        <f t="shared" si="2"/>
        <v>0.41</v>
      </c>
      <c r="O32" s="3">
        <v>2.9285714285714284</v>
      </c>
      <c r="P32" s="6"/>
      <c r="Q32" s="7">
        <v>2.0183486238532113</v>
      </c>
      <c r="R32" s="30">
        <v>41</v>
      </c>
      <c r="S32" s="30">
        <v>59</v>
      </c>
      <c r="T32" s="30">
        <f t="shared" si="3"/>
        <v>100</v>
      </c>
      <c r="V32" s="14">
        <v>20.91</v>
      </c>
      <c r="W32" s="17">
        <v>28.89</v>
      </c>
      <c r="X32" s="6">
        <v>15.87156109508269</v>
      </c>
      <c r="Y32" s="4">
        <f t="shared" si="4"/>
        <v>0.54937906178894735</v>
      </c>
      <c r="Z32" s="3">
        <v>91323.820346025561</v>
      </c>
      <c r="AA32" s="17">
        <v>14.22</v>
      </c>
      <c r="AB32" s="17">
        <v>20345.070422535209</v>
      </c>
      <c r="AC32" s="4">
        <f t="shared" si="5"/>
        <v>0.176056338028169</v>
      </c>
      <c r="AD32" s="6">
        <v>1.9230769230769231</v>
      </c>
      <c r="AE32" s="3">
        <f>2889000/100000</f>
        <v>28.89</v>
      </c>
      <c r="AF32" s="7">
        <v>2.0316455696202529</v>
      </c>
      <c r="AG32" s="30">
        <v>25</v>
      </c>
      <c r="AH32" s="30">
        <v>117</v>
      </c>
      <c r="AI32" s="30">
        <f t="shared" si="6"/>
        <v>142</v>
      </c>
      <c r="AK32" s="14"/>
      <c r="AL32" s="17"/>
      <c r="AM32" s="3"/>
      <c r="AN32" s="4"/>
      <c r="AO32" s="3"/>
      <c r="AP32" s="17"/>
      <c r="AQ32" s="17"/>
      <c r="AR32" s="6"/>
      <c r="AS32" s="3"/>
      <c r="AT32" s="3"/>
      <c r="AU32" s="7"/>
      <c r="AV32" s="8"/>
      <c r="AW32" s="8"/>
      <c r="AX32" s="8"/>
      <c r="AZ32" s="14"/>
      <c r="BA32" s="17"/>
      <c r="BB32" s="3"/>
      <c r="BC32" s="4"/>
      <c r="BD32" s="3"/>
      <c r="BE32" s="17"/>
      <c r="BF32" s="17"/>
      <c r="BG32" s="6"/>
      <c r="BH32" s="3"/>
      <c r="BI32" s="3"/>
      <c r="BJ32" s="7"/>
      <c r="BK32" s="8"/>
      <c r="BL32" s="8"/>
      <c r="BM32" s="8"/>
      <c r="BO32" s="14"/>
      <c r="BP32" s="17"/>
      <c r="BQ32" s="3"/>
      <c r="BR32" s="4"/>
      <c r="BS32" s="3"/>
      <c r="BT32" s="17"/>
      <c r="BU32" s="17"/>
      <c r="BV32" s="6"/>
      <c r="BW32" s="3"/>
      <c r="BX32" s="3"/>
      <c r="BY32" s="7"/>
      <c r="BZ32" s="8"/>
      <c r="CA32" s="8"/>
      <c r="CB32" s="8"/>
      <c r="CD32" s="14"/>
      <c r="CE32" s="17"/>
      <c r="CF32" s="3"/>
      <c r="CG32" s="4"/>
      <c r="CH32" s="3"/>
      <c r="CI32" s="17"/>
      <c r="CJ32" s="17"/>
      <c r="CK32" s="6"/>
      <c r="CL32" s="3"/>
      <c r="CM32" s="3"/>
      <c r="CN32" s="7"/>
      <c r="CO32" s="8"/>
      <c r="CP32" s="8"/>
      <c r="CQ32" s="8"/>
      <c r="CS32" s="14"/>
      <c r="CT32" s="17"/>
      <c r="CU32" s="3"/>
      <c r="CV32" s="4"/>
      <c r="CW32" s="3"/>
      <c r="CX32" s="17"/>
      <c r="CY32" s="17"/>
      <c r="CZ32" s="6"/>
      <c r="DA32" s="3"/>
      <c r="DB32" s="3"/>
      <c r="DC32" s="7"/>
      <c r="DD32" s="8"/>
      <c r="DE32" s="8"/>
      <c r="DF32" s="8"/>
      <c r="DH32" s="14"/>
      <c r="DI32" s="17"/>
      <c r="DJ32" s="3"/>
      <c r="DK32" s="4"/>
      <c r="DL32" s="3"/>
      <c r="DM32" s="17"/>
      <c r="DN32" s="17"/>
      <c r="DO32" s="6"/>
      <c r="DP32" s="3"/>
      <c r="DQ32" s="3"/>
      <c r="DR32" s="7"/>
      <c r="DS32" s="8"/>
      <c r="DT32" s="8"/>
      <c r="DU32" s="8"/>
      <c r="DW32" s="14"/>
      <c r="DX32" s="17"/>
      <c r="DY32" s="3"/>
      <c r="DZ32" s="4"/>
      <c r="EA32" s="3"/>
      <c r="EB32" s="17"/>
      <c r="EC32" s="17"/>
      <c r="ED32" s="6"/>
      <c r="EE32" s="3"/>
      <c r="EF32" s="3"/>
      <c r="EG32" s="7"/>
      <c r="EH32" s="8"/>
      <c r="EI32" s="8"/>
      <c r="EJ32" s="8"/>
      <c r="EL32" s="14"/>
      <c r="EM32" s="17"/>
      <c r="EN32" s="3"/>
      <c r="EO32" s="4"/>
      <c r="EP32" s="3"/>
      <c r="EQ32" s="17"/>
      <c r="ER32" s="17"/>
      <c r="ES32" s="6"/>
      <c r="ET32" s="3"/>
      <c r="EU32" s="3"/>
      <c r="EV32" s="7"/>
      <c r="EW32" s="8"/>
      <c r="EX32" s="8"/>
      <c r="EY32" s="8"/>
      <c r="FA32" s="14"/>
      <c r="FB32" s="17"/>
      <c r="FC32" s="3"/>
      <c r="FD32" s="4"/>
      <c r="FE32" s="3"/>
      <c r="FF32" s="17"/>
      <c r="FG32" s="17"/>
      <c r="FH32" s="6"/>
      <c r="FI32" s="3"/>
      <c r="FJ32" s="3"/>
      <c r="FK32" s="7"/>
      <c r="FL32" s="8"/>
      <c r="FM32" s="8"/>
      <c r="FN32" s="8"/>
      <c r="FP32" s="14"/>
      <c r="FQ32" s="17"/>
      <c r="FR32" s="3"/>
      <c r="FS32" s="4"/>
      <c r="FT32" s="3"/>
      <c r="FU32" s="17"/>
      <c r="FV32" s="17"/>
      <c r="FW32" s="6"/>
      <c r="FX32" s="3"/>
      <c r="FY32" s="3"/>
      <c r="FZ32" s="7"/>
      <c r="GA32" s="8"/>
      <c r="GB32" s="8"/>
      <c r="GC32" s="8"/>
      <c r="GE32" s="14">
        <f t="shared" si="7"/>
        <v>41.82</v>
      </c>
      <c r="GF32" s="14">
        <f t="shared" si="8"/>
        <v>59.69</v>
      </c>
      <c r="GG32" s="14">
        <f t="shared" si="9"/>
        <v>33.423760924292651</v>
      </c>
      <c r="GH32" s="4">
        <f t="shared" si="10"/>
        <v>0.55995578697089388</v>
      </c>
      <c r="GI32" s="3">
        <f t="shared" si="11"/>
        <v>89068.856997357623</v>
      </c>
      <c r="GJ32" s="3">
        <f t="shared" si="12"/>
        <v>14.74</v>
      </c>
      <c r="GK32" s="17">
        <f t="shared" si="13"/>
        <v>24665.289256198346</v>
      </c>
      <c r="GL32" s="4">
        <f t="shared" si="14"/>
        <v>0.27272727272727271</v>
      </c>
      <c r="GM32" s="3">
        <f t="shared" si="15"/>
        <v>2.4258241758241756</v>
      </c>
      <c r="GN32" s="14">
        <f t="shared" si="16"/>
        <v>28.89</v>
      </c>
      <c r="GO32" s="3">
        <f t="shared" si="17"/>
        <v>2.0249970967367323</v>
      </c>
      <c r="GP32" s="35">
        <f t="shared" si="18"/>
        <v>66</v>
      </c>
      <c r="GQ32" s="35">
        <f t="shared" si="19"/>
        <v>176</v>
      </c>
      <c r="GR32" s="35">
        <f t="shared" si="20"/>
        <v>242</v>
      </c>
    </row>
    <row r="33" spans="1:200" x14ac:dyDescent="0.35">
      <c r="A33" s="3" t="s">
        <v>15</v>
      </c>
      <c r="B33" s="2" t="s">
        <v>142</v>
      </c>
      <c r="C33" s="2" t="s">
        <v>83</v>
      </c>
      <c r="D33" s="2" t="s">
        <v>107</v>
      </c>
      <c r="E33" s="3" t="s">
        <v>2</v>
      </c>
      <c r="F33" s="18"/>
      <c r="G33" s="14">
        <v>1</v>
      </c>
      <c r="H33" s="17">
        <v>0</v>
      </c>
      <c r="I33" s="6">
        <v>-1.0580077569325061</v>
      </c>
      <c r="J33" s="4">
        <f t="shared" si="0"/>
        <v>0</v>
      </c>
      <c r="K33" s="3">
        <v>105800.77569325062</v>
      </c>
      <c r="L33" s="17">
        <v>1</v>
      </c>
      <c r="M33" s="17">
        <f t="shared" si="1"/>
        <v>0</v>
      </c>
      <c r="N33" s="4">
        <f t="shared" si="2"/>
        <v>0</v>
      </c>
      <c r="O33" s="3">
        <v>0</v>
      </c>
      <c r="P33" s="6"/>
      <c r="Q33" s="7"/>
      <c r="R33" s="30">
        <v>0</v>
      </c>
      <c r="S33" s="30">
        <v>0</v>
      </c>
      <c r="T33" s="30">
        <f t="shared" si="3"/>
        <v>0</v>
      </c>
      <c r="V33" s="14">
        <v>1.5</v>
      </c>
      <c r="W33" s="17">
        <v>0</v>
      </c>
      <c r="X33" s="6">
        <v>-1.1175635356650766</v>
      </c>
      <c r="Y33" s="4">
        <f t="shared" si="4"/>
        <v>0</v>
      </c>
      <c r="Z33" s="3">
        <v>112910.79643603964</v>
      </c>
      <c r="AA33" s="17">
        <v>1</v>
      </c>
      <c r="AB33" s="17"/>
      <c r="AC33" s="4">
        <f t="shared" si="5"/>
        <v>0</v>
      </c>
      <c r="AD33" s="6">
        <v>0</v>
      </c>
      <c r="AE33" s="3"/>
      <c r="AF33" s="7">
        <v>0</v>
      </c>
      <c r="AG33" s="30">
        <v>0</v>
      </c>
      <c r="AH33" s="30">
        <v>0</v>
      </c>
      <c r="AI33" s="30">
        <f t="shared" si="6"/>
        <v>0</v>
      </c>
      <c r="AK33" s="14"/>
      <c r="AL33" s="17"/>
      <c r="AM33" s="3"/>
      <c r="AN33" s="4"/>
      <c r="AO33" s="3"/>
      <c r="AP33" s="17"/>
      <c r="AQ33" s="17"/>
      <c r="AR33" s="6"/>
      <c r="AS33" s="3"/>
      <c r="AT33" s="3"/>
      <c r="AU33" s="7"/>
      <c r="AV33" s="8"/>
      <c r="AW33" s="8"/>
      <c r="AX33" s="8"/>
      <c r="AZ33" s="14"/>
      <c r="BA33" s="17"/>
      <c r="BB33" s="3"/>
      <c r="BC33" s="4"/>
      <c r="BD33" s="3"/>
      <c r="BE33" s="17"/>
      <c r="BF33" s="17"/>
      <c r="BG33" s="6"/>
      <c r="BH33" s="3"/>
      <c r="BI33" s="3"/>
      <c r="BJ33" s="7"/>
      <c r="BK33" s="8"/>
      <c r="BL33" s="8"/>
      <c r="BM33" s="8"/>
      <c r="BO33" s="14"/>
      <c r="BP33" s="17"/>
      <c r="BQ33" s="3"/>
      <c r="BR33" s="4"/>
      <c r="BS33" s="3"/>
      <c r="BT33" s="17"/>
      <c r="BU33" s="17"/>
      <c r="BV33" s="6"/>
      <c r="BW33" s="3"/>
      <c r="BX33" s="3"/>
      <c r="BY33" s="7"/>
      <c r="BZ33" s="8"/>
      <c r="CA33" s="8"/>
      <c r="CB33" s="8"/>
      <c r="CD33" s="14"/>
      <c r="CE33" s="17"/>
      <c r="CF33" s="3"/>
      <c r="CG33" s="4"/>
      <c r="CH33" s="3"/>
      <c r="CI33" s="17"/>
      <c r="CJ33" s="17"/>
      <c r="CK33" s="6"/>
      <c r="CL33" s="3"/>
      <c r="CM33" s="3"/>
      <c r="CN33" s="7"/>
      <c r="CO33" s="8"/>
      <c r="CP33" s="8"/>
      <c r="CQ33" s="8"/>
      <c r="CS33" s="14"/>
      <c r="CT33" s="17"/>
      <c r="CU33" s="3"/>
      <c r="CV33" s="4"/>
      <c r="CW33" s="3"/>
      <c r="CX33" s="17"/>
      <c r="CY33" s="17"/>
      <c r="CZ33" s="6"/>
      <c r="DA33" s="3"/>
      <c r="DB33" s="3"/>
      <c r="DC33" s="7"/>
      <c r="DD33" s="8"/>
      <c r="DE33" s="8"/>
      <c r="DF33" s="8"/>
      <c r="DH33" s="14"/>
      <c r="DI33" s="17"/>
      <c r="DJ33" s="3"/>
      <c r="DK33" s="4"/>
      <c r="DL33" s="3"/>
      <c r="DM33" s="17"/>
      <c r="DN33" s="17"/>
      <c r="DO33" s="6"/>
      <c r="DP33" s="3"/>
      <c r="DQ33" s="3"/>
      <c r="DR33" s="7"/>
      <c r="DS33" s="8"/>
      <c r="DT33" s="8"/>
      <c r="DU33" s="8"/>
      <c r="DW33" s="14"/>
      <c r="DX33" s="17"/>
      <c r="DY33" s="3"/>
      <c r="DZ33" s="4"/>
      <c r="EA33" s="3"/>
      <c r="EB33" s="17"/>
      <c r="EC33" s="17"/>
      <c r="ED33" s="6"/>
      <c r="EE33" s="3"/>
      <c r="EF33" s="3"/>
      <c r="EG33" s="7"/>
      <c r="EH33" s="8"/>
      <c r="EI33" s="8"/>
      <c r="EJ33" s="8"/>
      <c r="EL33" s="14"/>
      <c r="EM33" s="17"/>
      <c r="EN33" s="3"/>
      <c r="EO33" s="4"/>
      <c r="EP33" s="3"/>
      <c r="EQ33" s="17"/>
      <c r="ER33" s="17"/>
      <c r="ES33" s="6"/>
      <c r="ET33" s="3"/>
      <c r="EU33" s="3"/>
      <c r="EV33" s="7"/>
      <c r="EW33" s="8"/>
      <c r="EX33" s="8"/>
      <c r="EY33" s="8"/>
      <c r="FA33" s="14"/>
      <c r="FB33" s="17"/>
      <c r="FC33" s="3"/>
      <c r="FD33" s="4"/>
      <c r="FE33" s="3"/>
      <c r="FF33" s="17"/>
      <c r="FG33" s="17"/>
      <c r="FH33" s="6"/>
      <c r="FI33" s="3"/>
      <c r="FJ33" s="3"/>
      <c r="FK33" s="7"/>
      <c r="FL33" s="8"/>
      <c r="FM33" s="8"/>
      <c r="FN33" s="8"/>
      <c r="FP33" s="14"/>
      <c r="FQ33" s="17"/>
      <c r="FR33" s="3"/>
      <c r="FS33" s="4"/>
      <c r="FT33" s="3"/>
      <c r="FU33" s="17"/>
      <c r="FV33" s="17"/>
      <c r="FW33" s="6"/>
      <c r="FX33" s="3"/>
      <c r="FY33" s="3"/>
      <c r="FZ33" s="7"/>
      <c r="GA33" s="8"/>
      <c r="GB33" s="8"/>
      <c r="GC33" s="8"/>
      <c r="GE33" s="14">
        <f t="shared" si="7"/>
        <v>2.5</v>
      </c>
      <c r="GF33" s="14">
        <f t="shared" si="8"/>
        <v>0</v>
      </c>
      <c r="GG33" s="14">
        <f t="shared" si="9"/>
        <v>-2.1755712925975828</v>
      </c>
      <c r="GH33" s="4">
        <f t="shared" si="10"/>
        <v>0</v>
      </c>
      <c r="GI33" s="3">
        <f t="shared" si="11"/>
        <v>109355.78606464513</v>
      </c>
      <c r="GJ33" s="3">
        <f t="shared" si="12"/>
        <v>1</v>
      </c>
      <c r="GK33" s="17" t="e">
        <f t="shared" si="13"/>
        <v>#DIV/0!</v>
      </c>
      <c r="GL33" s="4" t="e">
        <f t="shared" si="14"/>
        <v>#DIV/0!</v>
      </c>
      <c r="GM33" s="3">
        <f t="shared" si="15"/>
        <v>0</v>
      </c>
      <c r="GN33" s="14">
        <f t="shared" si="16"/>
        <v>0</v>
      </c>
      <c r="GO33" s="3">
        <f t="shared" si="17"/>
        <v>0</v>
      </c>
      <c r="GP33" s="35">
        <f t="shared" si="18"/>
        <v>0</v>
      </c>
      <c r="GQ33" s="35">
        <f t="shared" si="19"/>
        <v>0</v>
      </c>
      <c r="GR33" s="35">
        <f t="shared" si="20"/>
        <v>0</v>
      </c>
    </row>
    <row r="34" spans="1:200" x14ac:dyDescent="0.35">
      <c r="A34" s="3" t="s">
        <v>16</v>
      </c>
      <c r="B34" s="2" t="s">
        <v>142</v>
      </c>
      <c r="C34" s="2" t="s">
        <v>83</v>
      </c>
      <c r="D34" s="2" t="s">
        <v>107</v>
      </c>
      <c r="E34" s="3" t="s">
        <v>2</v>
      </c>
      <c r="F34" s="18"/>
      <c r="G34" s="14">
        <v>0</v>
      </c>
      <c r="H34" s="17">
        <v>0</v>
      </c>
      <c r="I34" s="6">
        <v>0</v>
      </c>
      <c r="J34" s="4">
        <f t="shared" si="0"/>
        <v>0</v>
      </c>
      <c r="K34" s="3">
        <v>0</v>
      </c>
      <c r="L34" s="17">
        <v>0</v>
      </c>
      <c r="M34" s="17">
        <f t="shared" si="1"/>
        <v>0</v>
      </c>
      <c r="N34" s="4">
        <f t="shared" si="2"/>
        <v>0</v>
      </c>
      <c r="O34" s="3"/>
      <c r="P34" s="6"/>
      <c r="Q34" s="7"/>
      <c r="R34" s="30">
        <v>0</v>
      </c>
      <c r="S34" s="30">
        <v>0</v>
      </c>
      <c r="T34" s="30">
        <f t="shared" si="3"/>
        <v>0</v>
      </c>
      <c r="V34" s="14">
        <v>0</v>
      </c>
      <c r="W34" s="17">
        <v>3.2240000000000002</v>
      </c>
      <c r="X34" s="6">
        <v>3.2240000000000002</v>
      </c>
      <c r="Y34" s="4">
        <f t="shared" si="4"/>
        <v>1</v>
      </c>
      <c r="Z34" s="3"/>
      <c r="AA34" s="17">
        <v>0</v>
      </c>
      <c r="AB34" s="17"/>
      <c r="AC34" s="4">
        <f t="shared" si="5"/>
        <v>0</v>
      </c>
      <c r="AD34" s="6" t="s">
        <v>123</v>
      </c>
      <c r="AE34" s="3">
        <f>322400/100000</f>
        <v>3.2240000000000002</v>
      </c>
      <c r="AF34" s="7">
        <v>0</v>
      </c>
      <c r="AG34" s="30">
        <v>0</v>
      </c>
      <c r="AH34" s="30">
        <v>0</v>
      </c>
      <c r="AI34" s="30">
        <f t="shared" si="6"/>
        <v>0</v>
      </c>
      <c r="AK34" s="14"/>
      <c r="AL34" s="17"/>
      <c r="AM34" s="3"/>
      <c r="AN34" s="4"/>
      <c r="AO34" s="3"/>
      <c r="AP34" s="17"/>
      <c r="AQ34" s="17"/>
      <c r="AR34" s="6"/>
      <c r="AS34" s="3"/>
      <c r="AT34" s="3"/>
      <c r="AU34" s="7"/>
      <c r="AV34" s="8"/>
      <c r="AW34" s="8"/>
      <c r="AX34" s="8"/>
      <c r="AZ34" s="14"/>
      <c r="BA34" s="17"/>
      <c r="BB34" s="3"/>
      <c r="BC34" s="4"/>
      <c r="BD34" s="3"/>
      <c r="BE34" s="17"/>
      <c r="BF34" s="17"/>
      <c r="BG34" s="6"/>
      <c r="BH34" s="3"/>
      <c r="BI34" s="3"/>
      <c r="BJ34" s="7"/>
      <c r="BK34" s="8"/>
      <c r="BL34" s="8"/>
      <c r="BM34" s="8"/>
      <c r="BO34" s="14"/>
      <c r="BP34" s="17"/>
      <c r="BQ34" s="3"/>
      <c r="BR34" s="4"/>
      <c r="BS34" s="3"/>
      <c r="BT34" s="17"/>
      <c r="BU34" s="17"/>
      <c r="BV34" s="6"/>
      <c r="BW34" s="3"/>
      <c r="BX34" s="3"/>
      <c r="BY34" s="7"/>
      <c r="BZ34" s="8"/>
      <c r="CA34" s="8"/>
      <c r="CB34" s="8"/>
      <c r="CD34" s="14"/>
      <c r="CE34" s="17"/>
      <c r="CF34" s="3"/>
      <c r="CG34" s="4"/>
      <c r="CH34" s="3"/>
      <c r="CI34" s="17"/>
      <c r="CJ34" s="17"/>
      <c r="CK34" s="6"/>
      <c r="CL34" s="3"/>
      <c r="CM34" s="3"/>
      <c r="CN34" s="7"/>
      <c r="CO34" s="8"/>
      <c r="CP34" s="8"/>
      <c r="CQ34" s="8"/>
      <c r="CS34" s="14"/>
      <c r="CT34" s="17"/>
      <c r="CU34" s="3"/>
      <c r="CV34" s="4"/>
      <c r="CW34" s="3"/>
      <c r="CX34" s="17"/>
      <c r="CY34" s="17"/>
      <c r="CZ34" s="6"/>
      <c r="DA34" s="3"/>
      <c r="DB34" s="3"/>
      <c r="DC34" s="7"/>
      <c r="DD34" s="8"/>
      <c r="DE34" s="8"/>
      <c r="DF34" s="8"/>
      <c r="DH34" s="14"/>
      <c r="DI34" s="17"/>
      <c r="DJ34" s="3"/>
      <c r="DK34" s="4"/>
      <c r="DL34" s="3"/>
      <c r="DM34" s="17"/>
      <c r="DN34" s="17"/>
      <c r="DO34" s="6"/>
      <c r="DP34" s="3"/>
      <c r="DQ34" s="3"/>
      <c r="DR34" s="7"/>
      <c r="DS34" s="8"/>
      <c r="DT34" s="8"/>
      <c r="DU34" s="8"/>
      <c r="DW34" s="14"/>
      <c r="DX34" s="17"/>
      <c r="DY34" s="3"/>
      <c r="DZ34" s="4"/>
      <c r="EA34" s="3"/>
      <c r="EB34" s="17"/>
      <c r="EC34" s="17"/>
      <c r="ED34" s="6"/>
      <c r="EE34" s="3"/>
      <c r="EF34" s="3"/>
      <c r="EG34" s="7"/>
      <c r="EH34" s="8"/>
      <c r="EI34" s="8"/>
      <c r="EJ34" s="8"/>
      <c r="EL34" s="14"/>
      <c r="EM34" s="17"/>
      <c r="EN34" s="3"/>
      <c r="EO34" s="4"/>
      <c r="EP34" s="3"/>
      <c r="EQ34" s="17"/>
      <c r="ER34" s="17"/>
      <c r="ES34" s="6"/>
      <c r="ET34" s="3"/>
      <c r="EU34" s="3"/>
      <c r="EV34" s="7"/>
      <c r="EW34" s="8"/>
      <c r="EX34" s="8"/>
      <c r="EY34" s="8"/>
      <c r="FA34" s="14"/>
      <c r="FB34" s="17"/>
      <c r="FC34" s="3"/>
      <c r="FD34" s="4"/>
      <c r="FE34" s="3"/>
      <c r="FF34" s="17"/>
      <c r="FG34" s="17"/>
      <c r="FH34" s="6"/>
      <c r="FI34" s="3"/>
      <c r="FJ34" s="3"/>
      <c r="FK34" s="7"/>
      <c r="FL34" s="8"/>
      <c r="FM34" s="8"/>
      <c r="FN34" s="8"/>
      <c r="FP34" s="14"/>
      <c r="FQ34" s="17"/>
      <c r="FR34" s="3"/>
      <c r="FS34" s="4"/>
      <c r="FT34" s="3"/>
      <c r="FU34" s="17"/>
      <c r="FV34" s="17"/>
      <c r="FW34" s="6"/>
      <c r="FX34" s="3"/>
      <c r="FY34" s="3"/>
      <c r="FZ34" s="7"/>
      <c r="GA34" s="8"/>
      <c r="GB34" s="8"/>
      <c r="GC34" s="8"/>
      <c r="GE34" s="14">
        <f t="shared" si="7"/>
        <v>0</v>
      </c>
      <c r="GF34" s="14">
        <f t="shared" si="8"/>
        <v>3.2240000000000002</v>
      </c>
      <c r="GG34" s="14">
        <f t="shared" si="9"/>
        <v>3.2240000000000002</v>
      </c>
      <c r="GH34" s="4">
        <f t="shared" si="10"/>
        <v>1</v>
      </c>
      <c r="GI34" s="3">
        <f t="shared" si="11"/>
        <v>0</v>
      </c>
      <c r="GJ34" s="3">
        <f t="shared" si="12"/>
        <v>0</v>
      </c>
      <c r="GK34" s="17" t="e">
        <f t="shared" si="13"/>
        <v>#DIV/0!</v>
      </c>
      <c r="GL34" s="4" t="e">
        <f t="shared" si="14"/>
        <v>#DIV/0!</v>
      </c>
      <c r="GM34" s="3" t="e">
        <f t="shared" si="15"/>
        <v>#DIV/0!</v>
      </c>
      <c r="GN34" s="14">
        <f t="shared" si="16"/>
        <v>3.2240000000000002</v>
      </c>
      <c r="GO34" s="3">
        <f t="shared" si="17"/>
        <v>0</v>
      </c>
      <c r="GP34" s="35">
        <f t="shared" si="18"/>
        <v>0</v>
      </c>
      <c r="GQ34" s="35">
        <f t="shared" si="19"/>
        <v>0</v>
      </c>
      <c r="GR34" s="35">
        <f t="shared" si="20"/>
        <v>0</v>
      </c>
    </row>
    <row r="35" spans="1:200" x14ac:dyDescent="0.35">
      <c r="A35" s="3" t="s">
        <v>49</v>
      </c>
      <c r="B35" s="2" t="s">
        <v>142</v>
      </c>
      <c r="C35" s="2" t="s">
        <v>83</v>
      </c>
      <c r="D35" s="2" t="s">
        <v>107</v>
      </c>
      <c r="E35" s="3" t="s">
        <v>2</v>
      </c>
      <c r="F35" s="18"/>
      <c r="G35" s="14">
        <v>3</v>
      </c>
      <c r="H35" s="17">
        <v>3.81</v>
      </c>
      <c r="I35" s="6">
        <v>1.8177362712086105</v>
      </c>
      <c r="J35" s="4">
        <f t="shared" si="0"/>
        <v>0.4770961341754883</v>
      </c>
      <c r="K35" s="3">
        <v>84777.179948569756</v>
      </c>
      <c r="L35" s="17">
        <v>2.35</v>
      </c>
      <c r="M35" s="17">
        <f t="shared" si="1"/>
        <v>60000</v>
      </c>
      <c r="N35" s="4">
        <f t="shared" si="2"/>
        <v>1</v>
      </c>
      <c r="O35" s="3">
        <v>2.3809523809523809</v>
      </c>
      <c r="P35" s="6"/>
      <c r="Q35" s="7">
        <v>1.6212765957446806</v>
      </c>
      <c r="R35" s="30">
        <v>5</v>
      </c>
      <c r="S35" s="30">
        <v>0</v>
      </c>
      <c r="T35" s="30">
        <f t="shared" si="3"/>
        <v>5</v>
      </c>
      <c r="V35" s="14">
        <v>2.6</v>
      </c>
      <c r="W35" s="17">
        <v>2.78</v>
      </c>
      <c r="X35" s="6">
        <v>0.8196990228535852</v>
      </c>
      <c r="Y35" s="4">
        <f t="shared" si="4"/>
        <v>0.29485576361639759</v>
      </c>
      <c r="Z35" s="3">
        <v>87911.907547150739</v>
      </c>
      <c r="AA35" s="17">
        <v>2.25</v>
      </c>
      <c r="AB35" s="17">
        <v>55599.999999999993</v>
      </c>
      <c r="AC35" s="4">
        <f t="shared" si="5"/>
        <v>0</v>
      </c>
      <c r="AD35" s="6">
        <v>0</v>
      </c>
      <c r="AE35" s="3"/>
      <c r="AF35" s="7">
        <v>1.2355555555555555</v>
      </c>
      <c r="AG35" s="30">
        <v>0</v>
      </c>
      <c r="AH35" s="30">
        <v>5</v>
      </c>
      <c r="AI35" s="30">
        <f t="shared" si="6"/>
        <v>5</v>
      </c>
      <c r="AK35" s="14"/>
      <c r="AL35" s="17"/>
      <c r="AM35" s="3"/>
      <c r="AN35" s="4"/>
      <c r="AO35" s="3"/>
      <c r="AP35" s="17"/>
      <c r="AQ35" s="17"/>
      <c r="AR35" s="6"/>
      <c r="AS35" s="3"/>
      <c r="AT35" s="3"/>
      <c r="AU35" s="7"/>
      <c r="AV35" s="8"/>
      <c r="AW35" s="8"/>
      <c r="AX35" s="8"/>
      <c r="AZ35" s="14"/>
      <c r="BA35" s="17"/>
      <c r="BB35" s="3"/>
      <c r="BC35" s="4"/>
      <c r="BD35" s="3"/>
      <c r="BE35" s="17"/>
      <c r="BF35" s="17"/>
      <c r="BG35" s="6"/>
      <c r="BH35" s="3"/>
      <c r="BI35" s="3"/>
      <c r="BJ35" s="7"/>
      <c r="BK35" s="8"/>
      <c r="BL35" s="8"/>
      <c r="BM35" s="8"/>
      <c r="BO35" s="14"/>
      <c r="BP35" s="17"/>
      <c r="BQ35" s="3"/>
      <c r="BR35" s="4"/>
      <c r="BS35" s="3"/>
      <c r="BT35" s="17"/>
      <c r="BU35" s="17"/>
      <c r="BV35" s="6"/>
      <c r="BW35" s="3"/>
      <c r="BX35" s="3"/>
      <c r="BY35" s="7"/>
      <c r="BZ35" s="8"/>
      <c r="CA35" s="8"/>
      <c r="CB35" s="8"/>
      <c r="CD35" s="14"/>
      <c r="CE35" s="17"/>
      <c r="CF35" s="3"/>
      <c r="CG35" s="4"/>
      <c r="CH35" s="3"/>
      <c r="CI35" s="17"/>
      <c r="CJ35" s="17"/>
      <c r="CK35" s="6"/>
      <c r="CL35" s="3"/>
      <c r="CM35" s="3"/>
      <c r="CN35" s="7"/>
      <c r="CO35" s="8"/>
      <c r="CP35" s="8"/>
      <c r="CQ35" s="8"/>
      <c r="CS35" s="14"/>
      <c r="CT35" s="17"/>
      <c r="CU35" s="3"/>
      <c r="CV35" s="4"/>
      <c r="CW35" s="3"/>
      <c r="CX35" s="17"/>
      <c r="CY35" s="17"/>
      <c r="CZ35" s="6"/>
      <c r="DA35" s="3"/>
      <c r="DB35" s="3"/>
      <c r="DC35" s="7"/>
      <c r="DD35" s="8"/>
      <c r="DE35" s="8"/>
      <c r="DF35" s="8"/>
      <c r="DH35" s="14"/>
      <c r="DI35" s="17"/>
      <c r="DJ35" s="3"/>
      <c r="DK35" s="4"/>
      <c r="DL35" s="3"/>
      <c r="DM35" s="17"/>
      <c r="DN35" s="17"/>
      <c r="DO35" s="6"/>
      <c r="DP35" s="3"/>
      <c r="DQ35" s="3"/>
      <c r="DR35" s="7"/>
      <c r="DS35" s="8"/>
      <c r="DT35" s="8"/>
      <c r="DU35" s="8"/>
      <c r="DW35" s="14"/>
      <c r="DX35" s="17"/>
      <c r="DY35" s="3"/>
      <c r="DZ35" s="4"/>
      <c r="EA35" s="3"/>
      <c r="EB35" s="17"/>
      <c r="EC35" s="17"/>
      <c r="ED35" s="6"/>
      <c r="EE35" s="3"/>
      <c r="EF35" s="3"/>
      <c r="EG35" s="7"/>
      <c r="EH35" s="8"/>
      <c r="EI35" s="8"/>
      <c r="EJ35" s="8"/>
      <c r="EL35" s="14"/>
      <c r="EM35" s="17"/>
      <c r="EN35" s="3"/>
      <c r="EO35" s="4"/>
      <c r="EP35" s="3"/>
      <c r="EQ35" s="17"/>
      <c r="ER35" s="17"/>
      <c r="ES35" s="6"/>
      <c r="ET35" s="3"/>
      <c r="EU35" s="3"/>
      <c r="EV35" s="7"/>
      <c r="EW35" s="8"/>
      <c r="EX35" s="8"/>
      <c r="EY35" s="8"/>
      <c r="FA35" s="14"/>
      <c r="FB35" s="17"/>
      <c r="FC35" s="3"/>
      <c r="FD35" s="4"/>
      <c r="FE35" s="3"/>
      <c r="FF35" s="17"/>
      <c r="FG35" s="17"/>
      <c r="FH35" s="6"/>
      <c r="FI35" s="3"/>
      <c r="FJ35" s="3"/>
      <c r="FK35" s="7"/>
      <c r="FL35" s="8"/>
      <c r="FM35" s="8"/>
      <c r="FN35" s="8"/>
      <c r="FP35" s="14"/>
      <c r="FQ35" s="17"/>
      <c r="FR35" s="3"/>
      <c r="FS35" s="4"/>
      <c r="FT35" s="3"/>
      <c r="FU35" s="17"/>
      <c r="FV35" s="17"/>
      <c r="FW35" s="6"/>
      <c r="FX35" s="3"/>
      <c r="FY35" s="3"/>
      <c r="FZ35" s="7"/>
      <c r="GA35" s="8"/>
      <c r="GB35" s="8"/>
      <c r="GC35" s="8"/>
      <c r="GE35" s="14">
        <f t="shared" si="7"/>
        <v>5.6</v>
      </c>
      <c r="GF35" s="14">
        <f t="shared" si="8"/>
        <v>6.59</v>
      </c>
      <c r="GG35" s="14">
        <f t="shared" si="9"/>
        <v>2.6374352940621959</v>
      </c>
      <c r="GH35" s="4">
        <f t="shared" si="10"/>
        <v>0.40021779879547736</v>
      </c>
      <c r="GI35" s="3">
        <f t="shared" si="11"/>
        <v>86344.54374786024</v>
      </c>
      <c r="GJ35" s="3">
        <f t="shared" si="12"/>
        <v>2.2999999999999998</v>
      </c>
      <c r="GK35" s="17">
        <f t="shared" si="13"/>
        <v>65900</v>
      </c>
      <c r="GL35" s="4">
        <f t="shared" si="14"/>
        <v>0.5</v>
      </c>
      <c r="GM35" s="3">
        <f t="shared" si="15"/>
        <v>1.1904761904761905</v>
      </c>
      <c r="GN35" s="14">
        <f t="shared" si="16"/>
        <v>0</v>
      </c>
      <c r="GO35" s="3">
        <f t="shared" si="17"/>
        <v>1.4284160756501181</v>
      </c>
      <c r="GP35" s="35">
        <f t="shared" si="18"/>
        <v>5</v>
      </c>
      <c r="GQ35" s="35">
        <f t="shared" si="19"/>
        <v>5</v>
      </c>
      <c r="GR35" s="35">
        <f t="shared" si="20"/>
        <v>10</v>
      </c>
    </row>
    <row r="36" spans="1:200" x14ac:dyDescent="0.35">
      <c r="A36" s="3" t="s">
        <v>17</v>
      </c>
      <c r="B36" s="2" t="s">
        <v>142</v>
      </c>
      <c r="C36" s="2" t="s">
        <v>83</v>
      </c>
      <c r="D36" s="2" t="s">
        <v>107</v>
      </c>
      <c r="E36" s="3" t="s">
        <v>2</v>
      </c>
      <c r="F36" s="18"/>
      <c r="G36" s="14">
        <v>7.87</v>
      </c>
      <c r="H36" s="17">
        <v>3.6067749999999998</v>
      </c>
      <c r="I36" s="6">
        <v>-1.032695713618357</v>
      </c>
      <c r="J36" s="4">
        <f t="shared" si="0"/>
        <v>-0.28632108008355306</v>
      </c>
      <c r="K36" s="3">
        <v>89049.437881350415</v>
      </c>
      <c r="L36" s="17">
        <v>5.21</v>
      </c>
      <c r="M36" s="17">
        <f t="shared" si="1"/>
        <v>87444.444444444453</v>
      </c>
      <c r="N36" s="4">
        <f t="shared" si="2"/>
        <v>0.77777777777777779</v>
      </c>
      <c r="O36" s="3">
        <v>1.75</v>
      </c>
      <c r="P36" s="6"/>
      <c r="Q36" s="7">
        <v>0.6922802303262956</v>
      </c>
      <c r="R36" s="30">
        <v>7</v>
      </c>
      <c r="S36" s="30">
        <v>2</v>
      </c>
      <c r="T36" s="30">
        <f t="shared" si="3"/>
        <v>9</v>
      </c>
      <c r="V36" s="14">
        <v>7.87</v>
      </c>
      <c r="W36" s="17">
        <v>6.43</v>
      </c>
      <c r="X36" s="6">
        <v>1.990082142017936</v>
      </c>
      <c r="Y36" s="4">
        <f t="shared" si="4"/>
        <v>0.30949955552378478</v>
      </c>
      <c r="Z36" s="3">
        <v>90148.908885838813</v>
      </c>
      <c r="AA36" s="17">
        <v>4.9800000000000004</v>
      </c>
      <c r="AB36" s="17">
        <v>53583.333333333328</v>
      </c>
      <c r="AC36" s="4">
        <f t="shared" si="5"/>
        <v>0.83333333333333337</v>
      </c>
      <c r="AD36" s="6">
        <v>2.6109660574412534</v>
      </c>
      <c r="AE36" s="3"/>
      <c r="AF36" s="7">
        <v>1.291164658634538</v>
      </c>
      <c r="AG36" s="30">
        <v>10</v>
      </c>
      <c r="AH36" s="30">
        <v>2</v>
      </c>
      <c r="AI36" s="30">
        <f t="shared" si="6"/>
        <v>12</v>
      </c>
      <c r="AK36" s="14"/>
      <c r="AL36" s="17"/>
      <c r="AM36" s="3"/>
      <c r="AN36" s="4"/>
      <c r="AO36" s="3"/>
      <c r="AP36" s="17"/>
      <c r="AQ36" s="17"/>
      <c r="AR36" s="6"/>
      <c r="AS36" s="3"/>
      <c r="AT36" s="3"/>
      <c r="AU36" s="7"/>
      <c r="AV36" s="8"/>
      <c r="AW36" s="8"/>
      <c r="AX36" s="8"/>
      <c r="AZ36" s="14"/>
      <c r="BA36" s="17"/>
      <c r="BB36" s="3"/>
      <c r="BC36" s="4"/>
      <c r="BD36" s="3"/>
      <c r="BE36" s="17"/>
      <c r="BF36" s="17"/>
      <c r="BG36" s="6"/>
      <c r="BH36" s="3"/>
      <c r="BI36" s="3"/>
      <c r="BJ36" s="7"/>
      <c r="BK36" s="8"/>
      <c r="BL36" s="8"/>
      <c r="BM36" s="8"/>
      <c r="BO36" s="14"/>
      <c r="BP36" s="17"/>
      <c r="BQ36" s="3"/>
      <c r="BR36" s="4"/>
      <c r="BS36" s="3"/>
      <c r="BT36" s="17"/>
      <c r="BU36" s="17"/>
      <c r="BV36" s="6"/>
      <c r="BW36" s="3"/>
      <c r="BX36" s="3"/>
      <c r="BY36" s="7"/>
      <c r="BZ36" s="8"/>
      <c r="CA36" s="8"/>
      <c r="CB36" s="8"/>
      <c r="CD36" s="14"/>
      <c r="CE36" s="17"/>
      <c r="CF36" s="3"/>
      <c r="CG36" s="4"/>
      <c r="CH36" s="3"/>
      <c r="CI36" s="17"/>
      <c r="CJ36" s="17"/>
      <c r="CK36" s="6"/>
      <c r="CL36" s="3"/>
      <c r="CM36" s="3"/>
      <c r="CN36" s="7"/>
      <c r="CO36" s="8"/>
      <c r="CP36" s="8"/>
      <c r="CQ36" s="8"/>
      <c r="CS36" s="14"/>
      <c r="CT36" s="17"/>
      <c r="CU36" s="3"/>
      <c r="CV36" s="4"/>
      <c r="CW36" s="3"/>
      <c r="CX36" s="17"/>
      <c r="CY36" s="17"/>
      <c r="CZ36" s="6"/>
      <c r="DA36" s="3"/>
      <c r="DB36" s="3"/>
      <c r="DC36" s="7"/>
      <c r="DD36" s="8"/>
      <c r="DE36" s="8"/>
      <c r="DF36" s="8"/>
      <c r="DH36" s="14"/>
      <c r="DI36" s="17"/>
      <c r="DJ36" s="3"/>
      <c r="DK36" s="4"/>
      <c r="DL36" s="3"/>
      <c r="DM36" s="17"/>
      <c r="DN36" s="17"/>
      <c r="DO36" s="6"/>
      <c r="DP36" s="3"/>
      <c r="DQ36" s="3"/>
      <c r="DR36" s="7"/>
      <c r="DS36" s="8"/>
      <c r="DT36" s="8"/>
      <c r="DU36" s="8"/>
      <c r="DW36" s="14"/>
      <c r="DX36" s="17"/>
      <c r="DY36" s="3"/>
      <c r="DZ36" s="4"/>
      <c r="EA36" s="3"/>
      <c r="EB36" s="17"/>
      <c r="EC36" s="17"/>
      <c r="ED36" s="6"/>
      <c r="EE36" s="3"/>
      <c r="EF36" s="3"/>
      <c r="EG36" s="7"/>
      <c r="EH36" s="8"/>
      <c r="EI36" s="8"/>
      <c r="EJ36" s="8"/>
      <c r="EL36" s="14"/>
      <c r="EM36" s="17"/>
      <c r="EN36" s="3"/>
      <c r="EO36" s="4"/>
      <c r="EP36" s="3"/>
      <c r="EQ36" s="17"/>
      <c r="ER36" s="17"/>
      <c r="ES36" s="6"/>
      <c r="ET36" s="3"/>
      <c r="EU36" s="3"/>
      <c r="EV36" s="7"/>
      <c r="EW36" s="8"/>
      <c r="EX36" s="8"/>
      <c r="EY36" s="8"/>
      <c r="FA36" s="14"/>
      <c r="FB36" s="17"/>
      <c r="FC36" s="3"/>
      <c r="FD36" s="4"/>
      <c r="FE36" s="3"/>
      <c r="FF36" s="17"/>
      <c r="FG36" s="17"/>
      <c r="FH36" s="6"/>
      <c r="FI36" s="3"/>
      <c r="FJ36" s="3"/>
      <c r="FK36" s="7"/>
      <c r="FL36" s="8"/>
      <c r="FM36" s="8"/>
      <c r="FN36" s="8"/>
      <c r="FP36" s="14"/>
      <c r="FQ36" s="17"/>
      <c r="FR36" s="3"/>
      <c r="FS36" s="4"/>
      <c r="FT36" s="3"/>
      <c r="FU36" s="17"/>
      <c r="FV36" s="17"/>
      <c r="FW36" s="6"/>
      <c r="FX36" s="3"/>
      <c r="FY36" s="3"/>
      <c r="FZ36" s="7"/>
      <c r="GA36" s="8"/>
      <c r="GB36" s="8"/>
      <c r="GC36" s="8"/>
      <c r="GE36" s="14">
        <f t="shared" si="7"/>
        <v>15.74</v>
      </c>
      <c r="GF36" s="14">
        <f t="shared" si="8"/>
        <v>10.036774999999999</v>
      </c>
      <c r="GG36" s="14">
        <f t="shared" si="9"/>
        <v>0.95738642839957899</v>
      </c>
      <c r="GH36" s="4">
        <f t="shared" si="10"/>
        <v>9.5387854006847725E-2</v>
      </c>
      <c r="GI36" s="3">
        <f t="shared" si="11"/>
        <v>89599.173383594607</v>
      </c>
      <c r="GJ36" s="3">
        <f t="shared" si="12"/>
        <v>5.0950000000000006</v>
      </c>
      <c r="GK36" s="17">
        <f t="shared" si="13"/>
        <v>47794.166666666657</v>
      </c>
      <c r="GL36" s="4">
        <f t="shared" si="14"/>
        <v>0.80952380952380953</v>
      </c>
      <c r="GM36" s="3">
        <f t="shared" si="15"/>
        <v>2.1804830287206265</v>
      </c>
      <c r="GN36" s="14">
        <f t="shared" si="16"/>
        <v>0</v>
      </c>
      <c r="GO36" s="3">
        <f t="shared" si="17"/>
        <v>0.9917224444804168</v>
      </c>
      <c r="GP36" s="35">
        <f t="shared" si="18"/>
        <v>17</v>
      </c>
      <c r="GQ36" s="35">
        <f t="shared" si="19"/>
        <v>4</v>
      </c>
      <c r="GR36" s="35">
        <f t="shared" si="20"/>
        <v>21</v>
      </c>
    </row>
    <row r="37" spans="1:200" x14ac:dyDescent="0.35">
      <c r="A37" s="3" t="s">
        <v>18</v>
      </c>
      <c r="B37" s="2" t="s">
        <v>142</v>
      </c>
      <c r="C37" s="2" t="s">
        <v>83</v>
      </c>
      <c r="D37" s="2" t="s">
        <v>107</v>
      </c>
      <c r="E37" s="3" t="s">
        <v>2</v>
      </c>
      <c r="F37" s="18"/>
      <c r="G37" s="14">
        <v>40</v>
      </c>
      <c r="H37" s="17">
        <v>37.19</v>
      </c>
      <c r="I37" s="6">
        <v>23.933454109798934</v>
      </c>
      <c r="J37" s="4">
        <f t="shared" si="0"/>
        <v>0.64354541838663448</v>
      </c>
      <c r="K37" s="3">
        <v>73402.801163903991</v>
      </c>
      <c r="L37" s="17">
        <v>18.059999999999999</v>
      </c>
      <c r="M37" s="17">
        <f t="shared" si="1"/>
        <v>29850.746268656712</v>
      </c>
      <c r="N37" s="4">
        <f t="shared" si="2"/>
        <v>1</v>
      </c>
      <c r="O37" s="3">
        <v>7.882352941176471</v>
      </c>
      <c r="P37" s="6"/>
      <c r="Q37" s="7">
        <v>2.0592469545957921</v>
      </c>
      <c r="R37" s="30">
        <v>134</v>
      </c>
      <c r="S37" s="30">
        <v>0</v>
      </c>
      <c r="T37" s="30">
        <f t="shared" si="3"/>
        <v>134</v>
      </c>
      <c r="V37" s="14">
        <v>36</v>
      </c>
      <c r="W37" s="17">
        <v>29.63</v>
      </c>
      <c r="X37" s="6">
        <v>14.746800723723066</v>
      </c>
      <c r="Y37" s="4">
        <f t="shared" si="4"/>
        <v>0.49769830319686353</v>
      </c>
      <c r="Z37" s="3">
        <v>80310.919233690467</v>
      </c>
      <c r="AA37" s="17">
        <v>18.73</v>
      </c>
      <c r="AB37" s="17">
        <v>32206.521739130432</v>
      </c>
      <c r="AC37" s="4">
        <f t="shared" si="5"/>
        <v>1</v>
      </c>
      <c r="AD37" s="6">
        <v>5.1889452904681326</v>
      </c>
      <c r="AE37" s="3">
        <f>2963000/100000</f>
        <v>29.63</v>
      </c>
      <c r="AF37" s="7">
        <v>1.5819540843566469</v>
      </c>
      <c r="AG37" s="30">
        <v>92</v>
      </c>
      <c r="AH37" s="30">
        <v>0</v>
      </c>
      <c r="AI37" s="30">
        <f t="shared" si="6"/>
        <v>92</v>
      </c>
      <c r="AK37" s="14"/>
      <c r="AL37" s="17"/>
      <c r="AM37" s="3"/>
      <c r="AN37" s="4"/>
      <c r="AO37" s="3"/>
      <c r="AP37" s="17"/>
      <c r="AQ37" s="17"/>
      <c r="AR37" s="6"/>
      <c r="AS37" s="3"/>
      <c r="AT37" s="3"/>
      <c r="AU37" s="7"/>
      <c r="AV37" s="8"/>
      <c r="AW37" s="8"/>
      <c r="AX37" s="8"/>
      <c r="AZ37" s="14"/>
      <c r="BA37" s="17"/>
      <c r="BB37" s="3"/>
      <c r="BC37" s="4"/>
      <c r="BD37" s="3"/>
      <c r="BE37" s="17"/>
      <c r="BF37" s="17"/>
      <c r="BG37" s="6"/>
      <c r="BH37" s="3"/>
      <c r="BI37" s="3"/>
      <c r="BJ37" s="7"/>
      <c r="BK37" s="8"/>
      <c r="BL37" s="8"/>
      <c r="BM37" s="8"/>
      <c r="BO37" s="14"/>
      <c r="BP37" s="17"/>
      <c r="BQ37" s="3"/>
      <c r="BR37" s="4"/>
      <c r="BS37" s="3"/>
      <c r="BT37" s="17"/>
      <c r="BU37" s="17"/>
      <c r="BV37" s="6"/>
      <c r="BW37" s="3"/>
      <c r="BX37" s="3"/>
      <c r="BY37" s="7"/>
      <c r="BZ37" s="8"/>
      <c r="CA37" s="8"/>
      <c r="CB37" s="8"/>
      <c r="CD37" s="14"/>
      <c r="CE37" s="17"/>
      <c r="CF37" s="3"/>
      <c r="CG37" s="4"/>
      <c r="CH37" s="3"/>
      <c r="CI37" s="17"/>
      <c r="CJ37" s="17"/>
      <c r="CK37" s="6"/>
      <c r="CL37" s="3"/>
      <c r="CM37" s="3"/>
      <c r="CN37" s="7"/>
      <c r="CO37" s="8"/>
      <c r="CP37" s="8"/>
      <c r="CQ37" s="8"/>
      <c r="CS37" s="14"/>
      <c r="CT37" s="17"/>
      <c r="CU37" s="3"/>
      <c r="CV37" s="4"/>
      <c r="CW37" s="3"/>
      <c r="CX37" s="17"/>
      <c r="CY37" s="17"/>
      <c r="CZ37" s="6"/>
      <c r="DA37" s="3"/>
      <c r="DB37" s="3"/>
      <c r="DC37" s="7"/>
      <c r="DD37" s="8"/>
      <c r="DE37" s="8"/>
      <c r="DF37" s="8"/>
      <c r="DH37" s="14"/>
      <c r="DI37" s="17"/>
      <c r="DJ37" s="3"/>
      <c r="DK37" s="4"/>
      <c r="DL37" s="3"/>
      <c r="DM37" s="17"/>
      <c r="DN37" s="17"/>
      <c r="DO37" s="6"/>
      <c r="DP37" s="3"/>
      <c r="DQ37" s="3"/>
      <c r="DR37" s="7"/>
      <c r="DS37" s="8"/>
      <c r="DT37" s="8"/>
      <c r="DU37" s="8"/>
      <c r="DW37" s="14"/>
      <c r="DX37" s="17"/>
      <c r="DY37" s="3"/>
      <c r="DZ37" s="4"/>
      <c r="EA37" s="3"/>
      <c r="EB37" s="17"/>
      <c r="EC37" s="17"/>
      <c r="ED37" s="6"/>
      <c r="EE37" s="3"/>
      <c r="EF37" s="3"/>
      <c r="EG37" s="7"/>
      <c r="EH37" s="8"/>
      <c r="EI37" s="8"/>
      <c r="EJ37" s="8"/>
      <c r="EL37" s="14"/>
      <c r="EM37" s="17"/>
      <c r="EN37" s="3"/>
      <c r="EO37" s="4"/>
      <c r="EP37" s="3"/>
      <c r="EQ37" s="17"/>
      <c r="ER37" s="17"/>
      <c r="ES37" s="6"/>
      <c r="ET37" s="3"/>
      <c r="EU37" s="3"/>
      <c r="EV37" s="7"/>
      <c r="EW37" s="8"/>
      <c r="EX37" s="8"/>
      <c r="EY37" s="8"/>
      <c r="FA37" s="14"/>
      <c r="FB37" s="17"/>
      <c r="FC37" s="3"/>
      <c r="FD37" s="4"/>
      <c r="FE37" s="3"/>
      <c r="FF37" s="17"/>
      <c r="FG37" s="17"/>
      <c r="FH37" s="6"/>
      <c r="FI37" s="3"/>
      <c r="FJ37" s="3"/>
      <c r="FK37" s="7"/>
      <c r="FL37" s="8"/>
      <c r="FM37" s="8"/>
      <c r="FN37" s="8"/>
      <c r="FP37" s="14"/>
      <c r="FQ37" s="17"/>
      <c r="FR37" s="3"/>
      <c r="FS37" s="4"/>
      <c r="FT37" s="3"/>
      <c r="FU37" s="17"/>
      <c r="FV37" s="17"/>
      <c r="FW37" s="6"/>
      <c r="FX37" s="3"/>
      <c r="FY37" s="3"/>
      <c r="FZ37" s="7"/>
      <c r="GA37" s="8"/>
      <c r="GB37" s="8"/>
      <c r="GC37" s="8"/>
      <c r="GE37" s="14">
        <f t="shared" si="7"/>
        <v>76</v>
      </c>
      <c r="GF37" s="14">
        <f t="shared" si="8"/>
        <v>66.819999999999993</v>
      </c>
      <c r="GG37" s="14">
        <f t="shared" si="9"/>
        <v>38.680254833522</v>
      </c>
      <c r="GH37" s="4">
        <f t="shared" si="10"/>
        <v>0.57887241594615391</v>
      </c>
      <c r="GI37" s="3">
        <f t="shared" si="11"/>
        <v>76856.860198797222</v>
      </c>
      <c r="GJ37" s="3">
        <f t="shared" si="12"/>
        <v>18.395</v>
      </c>
      <c r="GK37" s="17">
        <f t="shared" si="13"/>
        <v>29566.371681415927</v>
      </c>
      <c r="GL37" s="4">
        <f t="shared" si="14"/>
        <v>1</v>
      </c>
      <c r="GM37" s="3">
        <f t="shared" si="15"/>
        <v>6.5356491158223022</v>
      </c>
      <c r="GN37" s="14">
        <f t="shared" si="16"/>
        <v>29.63</v>
      </c>
      <c r="GO37" s="3">
        <f t="shared" si="17"/>
        <v>1.8206005194762196</v>
      </c>
      <c r="GP37" s="35">
        <f t="shared" si="18"/>
        <v>226</v>
      </c>
      <c r="GQ37" s="35">
        <f t="shared" si="19"/>
        <v>0</v>
      </c>
      <c r="GR37" s="35">
        <f t="shared" si="20"/>
        <v>226</v>
      </c>
    </row>
    <row r="38" spans="1:200" x14ac:dyDescent="0.35">
      <c r="A38" s="3" t="s">
        <v>50</v>
      </c>
      <c r="B38" s="2" t="s">
        <v>146</v>
      </c>
      <c r="C38" s="2" t="s">
        <v>150</v>
      </c>
      <c r="D38" s="2" t="s">
        <v>107</v>
      </c>
      <c r="E38" s="3" t="s">
        <v>70</v>
      </c>
      <c r="F38" s="18"/>
      <c r="G38" s="14">
        <v>14</v>
      </c>
      <c r="H38" s="17">
        <v>12</v>
      </c>
      <c r="I38" s="6">
        <v>-4.1927339702401092</v>
      </c>
      <c r="J38" s="4">
        <f t="shared" si="0"/>
        <v>-0.34939449752000912</v>
      </c>
      <c r="K38" s="3">
        <v>140806.38234991397</v>
      </c>
      <c r="L38" s="17">
        <v>11.5</v>
      </c>
      <c r="M38" s="17">
        <f t="shared" si="1"/>
        <v>41176.470588235294</v>
      </c>
      <c r="N38" s="4">
        <f t="shared" si="2"/>
        <v>0.35294117647058826</v>
      </c>
      <c r="O38" s="3">
        <v>1.7142857142857142</v>
      </c>
      <c r="P38" s="6"/>
      <c r="Q38" s="7">
        <v>1.0434782608695652</v>
      </c>
      <c r="R38" s="30">
        <v>12</v>
      </c>
      <c r="S38" s="30">
        <v>22</v>
      </c>
      <c r="T38" s="30">
        <f t="shared" si="3"/>
        <v>34</v>
      </c>
      <c r="V38" s="14">
        <v>15</v>
      </c>
      <c r="W38" s="17">
        <v>12.259040000000001</v>
      </c>
      <c r="X38" s="6">
        <v>-3.3774380281120293</v>
      </c>
      <c r="Y38" s="4">
        <f t="shared" si="4"/>
        <v>-0.2755059146647722</v>
      </c>
      <c r="Z38" s="3">
        <v>133361.76063241105</v>
      </c>
      <c r="AA38" s="17">
        <v>11.5</v>
      </c>
      <c r="AB38" s="17">
        <v>36056</v>
      </c>
      <c r="AC38" s="4">
        <f t="shared" si="5"/>
        <v>0.35294117647058826</v>
      </c>
      <c r="AD38" s="6">
        <v>1.7142857142857142</v>
      </c>
      <c r="AE38" s="3">
        <f>1225904/100000</f>
        <v>12.259040000000001</v>
      </c>
      <c r="AF38" s="7">
        <v>1.0660034782608696</v>
      </c>
      <c r="AG38" s="30">
        <v>12</v>
      </c>
      <c r="AH38" s="30">
        <v>22</v>
      </c>
      <c r="AI38" s="30">
        <f t="shared" si="6"/>
        <v>34</v>
      </c>
      <c r="AK38" s="14"/>
      <c r="AL38" s="17"/>
      <c r="AM38" s="3"/>
      <c r="AN38" s="4"/>
      <c r="AO38" s="3"/>
      <c r="AP38" s="17"/>
      <c r="AQ38" s="17"/>
      <c r="AR38" s="6"/>
      <c r="AS38" s="3"/>
      <c r="AT38" s="3"/>
      <c r="AU38" s="7"/>
      <c r="AV38" s="8"/>
      <c r="AW38" s="8"/>
      <c r="AX38" s="8"/>
      <c r="AZ38" s="14"/>
      <c r="BA38" s="17"/>
      <c r="BB38" s="3"/>
      <c r="BC38" s="4"/>
      <c r="BD38" s="3"/>
      <c r="BE38" s="17"/>
      <c r="BF38" s="17"/>
      <c r="BG38" s="6"/>
      <c r="BH38" s="3"/>
      <c r="BI38" s="3"/>
      <c r="BJ38" s="7"/>
      <c r="BK38" s="8"/>
      <c r="BL38" s="8"/>
      <c r="BM38" s="8"/>
      <c r="BO38" s="14"/>
      <c r="BP38" s="17"/>
      <c r="BQ38" s="3"/>
      <c r="BR38" s="4"/>
      <c r="BS38" s="3"/>
      <c r="BT38" s="17"/>
      <c r="BU38" s="17"/>
      <c r="BV38" s="6"/>
      <c r="BW38" s="3"/>
      <c r="BX38" s="3"/>
      <c r="BY38" s="7"/>
      <c r="BZ38" s="8"/>
      <c r="CA38" s="8"/>
      <c r="CB38" s="8"/>
      <c r="CD38" s="14"/>
      <c r="CE38" s="17"/>
      <c r="CF38" s="3"/>
      <c r="CG38" s="4"/>
      <c r="CH38" s="3"/>
      <c r="CI38" s="17"/>
      <c r="CJ38" s="17"/>
      <c r="CK38" s="6"/>
      <c r="CL38" s="3"/>
      <c r="CM38" s="3"/>
      <c r="CN38" s="7"/>
      <c r="CO38" s="8"/>
      <c r="CP38" s="8"/>
      <c r="CQ38" s="8"/>
      <c r="CS38" s="14"/>
      <c r="CT38" s="17"/>
      <c r="CU38" s="3"/>
      <c r="CV38" s="4"/>
      <c r="CW38" s="3"/>
      <c r="CX38" s="17"/>
      <c r="CY38" s="17"/>
      <c r="CZ38" s="6"/>
      <c r="DA38" s="3"/>
      <c r="DB38" s="3"/>
      <c r="DC38" s="7"/>
      <c r="DD38" s="8"/>
      <c r="DE38" s="8"/>
      <c r="DF38" s="8"/>
      <c r="DH38" s="14"/>
      <c r="DI38" s="17"/>
      <c r="DJ38" s="3"/>
      <c r="DK38" s="4"/>
      <c r="DL38" s="3"/>
      <c r="DM38" s="17"/>
      <c r="DN38" s="17"/>
      <c r="DO38" s="6"/>
      <c r="DP38" s="3"/>
      <c r="DQ38" s="3"/>
      <c r="DR38" s="7"/>
      <c r="DS38" s="8"/>
      <c r="DT38" s="8"/>
      <c r="DU38" s="8"/>
      <c r="DW38" s="14"/>
      <c r="DX38" s="17"/>
      <c r="DY38" s="3"/>
      <c r="DZ38" s="4"/>
      <c r="EA38" s="3"/>
      <c r="EB38" s="17"/>
      <c r="EC38" s="17"/>
      <c r="ED38" s="6"/>
      <c r="EE38" s="3"/>
      <c r="EF38" s="3"/>
      <c r="EG38" s="7"/>
      <c r="EH38" s="8"/>
      <c r="EI38" s="8"/>
      <c r="EJ38" s="8"/>
      <c r="EL38" s="14"/>
      <c r="EM38" s="17"/>
      <c r="EN38" s="3"/>
      <c r="EO38" s="4"/>
      <c r="EP38" s="3"/>
      <c r="EQ38" s="17"/>
      <c r="ER38" s="17"/>
      <c r="ES38" s="6"/>
      <c r="ET38" s="3"/>
      <c r="EU38" s="3"/>
      <c r="EV38" s="7"/>
      <c r="EW38" s="8"/>
      <c r="EX38" s="8"/>
      <c r="EY38" s="8"/>
      <c r="FA38" s="14"/>
      <c r="FB38" s="17"/>
      <c r="FC38" s="3"/>
      <c r="FD38" s="4"/>
      <c r="FE38" s="3"/>
      <c r="FF38" s="17"/>
      <c r="FG38" s="17"/>
      <c r="FH38" s="6"/>
      <c r="FI38" s="3"/>
      <c r="FJ38" s="3"/>
      <c r="FK38" s="7"/>
      <c r="FL38" s="8"/>
      <c r="FM38" s="8"/>
      <c r="FN38" s="8"/>
      <c r="FP38" s="14"/>
      <c r="FQ38" s="17"/>
      <c r="FR38" s="3"/>
      <c r="FS38" s="4"/>
      <c r="FT38" s="3"/>
      <c r="FU38" s="17"/>
      <c r="FV38" s="17"/>
      <c r="FW38" s="6"/>
      <c r="FX38" s="3"/>
      <c r="FY38" s="3"/>
      <c r="FZ38" s="7"/>
      <c r="GA38" s="8"/>
      <c r="GB38" s="8"/>
      <c r="GC38" s="8"/>
      <c r="GE38" s="14">
        <f t="shared" si="7"/>
        <v>29</v>
      </c>
      <c r="GF38" s="14">
        <f t="shared" si="8"/>
        <v>24.259039999999999</v>
      </c>
      <c r="GG38" s="14">
        <f t="shared" si="9"/>
        <v>-7.5701719983521389</v>
      </c>
      <c r="GH38" s="4">
        <f t="shared" si="10"/>
        <v>-0.31205571194705722</v>
      </c>
      <c r="GI38" s="3">
        <f t="shared" si="11"/>
        <v>137084.07149116253</v>
      </c>
      <c r="GJ38" s="3">
        <f t="shared" si="12"/>
        <v>11.5</v>
      </c>
      <c r="GK38" s="17">
        <f t="shared" si="13"/>
        <v>35675.058823529413</v>
      </c>
      <c r="GL38" s="4">
        <f t="shared" si="14"/>
        <v>0.35294117647058826</v>
      </c>
      <c r="GM38" s="3">
        <f t="shared" si="15"/>
        <v>1.7142857142857142</v>
      </c>
      <c r="GN38" s="14">
        <f t="shared" si="16"/>
        <v>12.259040000000001</v>
      </c>
      <c r="GO38" s="3">
        <f t="shared" si="17"/>
        <v>1.0547408695652174</v>
      </c>
      <c r="GP38" s="35">
        <f t="shared" si="18"/>
        <v>24</v>
      </c>
      <c r="GQ38" s="35">
        <f t="shared" si="19"/>
        <v>44</v>
      </c>
      <c r="GR38" s="35">
        <f t="shared" si="20"/>
        <v>68</v>
      </c>
    </row>
    <row r="39" spans="1:200" x14ac:dyDescent="0.35">
      <c r="A39" s="3" t="s">
        <v>6</v>
      </c>
      <c r="B39" s="2" t="s">
        <v>142</v>
      </c>
      <c r="C39" s="2" t="s">
        <v>83</v>
      </c>
      <c r="D39" s="2" t="s">
        <v>107</v>
      </c>
      <c r="E39" s="3" t="s">
        <v>2</v>
      </c>
      <c r="F39" s="18"/>
      <c r="G39" s="14">
        <v>5</v>
      </c>
      <c r="H39" s="17">
        <v>4.83</v>
      </c>
      <c r="I39" s="6">
        <v>2.1951804637865311</v>
      </c>
      <c r="J39" s="4">
        <f t="shared" si="0"/>
        <v>0.45448870885849502</v>
      </c>
      <c r="K39" s="3">
        <v>86105.213601747353</v>
      </c>
      <c r="L39" s="17">
        <v>3.06</v>
      </c>
      <c r="M39" s="17">
        <f t="shared" si="1"/>
        <v>41666.666666666672</v>
      </c>
      <c r="N39" s="4">
        <f t="shared" si="2"/>
        <v>0.66666666666666663</v>
      </c>
      <c r="O39" s="3">
        <v>4</v>
      </c>
      <c r="P39" s="6"/>
      <c r="Q39" s="7">
        <v>1.5784313725490196</v>
      </c>
      <c r="R39" s="30">
        <v>8</v>
      </c>
      <c r="S39" s="30">
        <v>4</v>
      </c>
      <c r="T39" s="30">
        <f t="shared" si="3"/>
        <v>12</v>
      </c>
      <c r="V39" s="14">
        <v>5</v>
      </c>
      <c r="W39" s="17">
        <v>7.2050199999999993</v>
      </c>
      <c r="X39" s="6">
        <v>3.7807645978664111</v>
      </c>
      <c r="Y39" s="4">
        <f t="shared" si="4"/>
        <v>0.52474033352668159</v>
      </c>
      <c r="Z39" s="3">
        <v>90419.325847804343</v>
      </c>
      <c r="AA39" s="17">
        <v>4.08</v>
      </c>
      <c r="AB39" s="17">
        <v>120083.66666666666</v>
      </c>
      <c r="AC39" s="4">
        <f t="shared" si="5"/>
        <v>0.83333333333333337</v>
      </c>
      <c r="AD39" s="6">
        <v>2.5</v>
      </c>
      <c r="AE39" s="3"/>
      <c r="AF39" s="7">
        <v>1.7659362745098039</v>
      </c>
      <c r="AG39" s="30">
        <v>5</v>
      </c>
      <c r="AH39" s="30">
        <v>1</v>
      </c>
      <c r="AI39" s="30">
        <f t="shared" si="6"/>
        <v>6</v>
      </c>
      <c r="AK39" s="14"/>
      <c r="AL39" s="17"/>
      <c r="AM39" s="3"/>
      <c r="AN39" s="4"/>
      <c r="AO39" s="3"/>
      <c r="AP39" s="17"/>
      <c r="AQ39" s="17"/>
      <c r="AR39" s="6"/>
      <c r="AS39" s="3"/>
      <c r="AT39" s="3"/>
      <c r="AU39" s="7"/>
      <c r="AV39" s="8"/>
      <c r="AW39" s="8"/>
      <c r="AX39" s="8"/>
      <c r="AZ39" s="14"/>
      <c r="BA39" s="17"/>
      <c r="BB39" s="3"/>
      <c r="BC39" s="4"/>
      <c r="BD39" s="3"/>
      <c r="BE39" s="17"/>
      <c r="BF39" s="17"/>
      <c r="BG39" s="6"/>
      <c r="BH39" s="3"/>
      <c r="BI39" s="3"/>
      <c r="BJ39" s="7"/>
      <c r="BK39" s="8"/>
      <c r="BL39" s="8"/>
      <c r="BM39" s="8"/>
      <c r="BO39" s="14"/>
      <c r="BP39" s="17"/>
      <c r="BQ39" s="3"/>
      <c r="BR39" s="4"/>
      <c r="BS39" s="3"/>
      <c r="BT39" s="17"/>
      <c r="BU39" s="17"/>
      <c r="BV39" s="6"/>
      <c r="BW39" s="3"/>
      <c r="BX39" s="3"/>
      <c r="BY39" s="7"/>
      <c r="BZ39" s="8"/>
      <c r="CA39" s="8"/>
      <c r="CB39" s="8"/>
      <c r="CD39" s="14"/>
      <c r="CE39" s="17"/>
      <c r="CF39" s="3"/>
      <c r="CG39" s="4"/>
      <c r="CH39" s="3"/>
      <c r="CI39" s="17"/>
      <c r="CJ39" s="17"/>
      <c r="CK39" s="6"/>
      <c r="CL39" s="3"/>
      <c r="CM39" s="3"/>
      <c r="CN39" s="7"/>
      <c r="CO39" s="8"/>
      <c r="CP39" s="8"/>
      <c r="CQ39" s="8"/>
      <c r="CS39" s="14"/>
      <c r="CT39" s="17"/>
      <c r="CU39" s="3"/>
      <c r="CV39" s="4"/>
      <c r="CW39" s="3"/>
      <c r="CX39" s="17"/>
      <c r="CY39" s="17"/>
      <c r="CZ39" s="6"/>
      <c r="DA39" s="3"/>
      <c r="DB39" s="3"/>
      <c r="DC39" s="7"/>
      <c r="DD39" s="8"/>
      <c r="DE39" s="8"/>
      <c r="DF39" s="8"/>
      <c r="DH39" s="14"/>
      <c r="DI39" s="17"/>
      <c r="DJ39" s="3"/>
      <c r="DK39" s="4"/>
      <c r="DL39" s="3"/>
      <c r="DM39" s="17"/>
      <c r="DN39" s="17"/>
      <c r="DO39" s="6"/>
      <c r="DP39" s="3"/>
      <c r="DQ39" s="3"/>
      <c r="DR39" s="7"/>
      <c r="DS39" s="8"/>
      <c r="DT39" s="8"/>
      <c r="DU39" s="8"/>
      <c r="DW39" s="14"/>
      <c r="DX39" s="17"/>
      <c r="DY39" s="3"/>
      <c r="DZ39" s="4"/>
      <c r="EA39" s="3"/>
      <c r="EB39" s="17"/>
      <c r="EC39" s="17"/>
      <c r="ED39" s="6"/>
      <c r="EE39" s="3"/>
      <c r="EF39" s="3"/>
      <c r="EG39" s="7"/>
      <c r="EH39" s="8"/>
      <c r="EI39" s="8"/>
      <c r="EJ39" s="8"/>
      <c r="EL39" s="14"/>
      <c r="EM39" s="17"/>
      <c r="EN39" s="3"/>
      <c r="EO39" s="4"/>
      <c r="EP39" s="3"/>
      <c r="EQ39" s="17"/>
      <c r="ER39" s="17"/>
      <c r="ES39" s="6"/>
      <c r="ET39" s="3"/>
      <c r="EU39" s="3"/>
      <c r="EV39" s="7"/>
      <c r="EW39" s="8"/>
      <c r="EX39" s="8"/>
      <c r="EY39" s="8"/>
      <c r="FA39" s="14"/>
      <c r="FB39" s="17"/>
      <c r="FC39" s="3"/>
      <c r="FD39" s="4"/>
      <c r="FE39" s="3"/>
      <c r="FF39" s="17"/>
      <c r="FG39" s="17"/>
      <c r="FH39" s="6"/>
      <c r="FI39" s="3"/>
      <c r="FJ39" s="3"/>
      <c r="FK39" s="7"/>
      <c r="FL39" s="8"/>
      <c r="FM39" s="8"/>
      <c r="FN39" s="8"/>
      <c r="FP39" s="14"/>
      <c r="FQ39" s="17"/>
      <c r="FR39" s="3"/>
      <c r="FS39" s="4"/>
      <c r="FT39" s="3"/>
      <c r="FU39" s="17"/>
      <c r="FV39" s="17"/>
      <c r="FW39" s="6"/>
      <c r="FX39" s="3"/>
      <c r="FY39" s="3"/>
      <c r="FZ39" s="7"/>
      <c r="GA39" s="8"/>
      <c r="GB39" s="8"/>
      <c r="GC39" s="8"/>
      <c r="GE39" s="14">
        <f t="shared" si="7"/>
        <v>10</v>
      </c>
      <c r="GF39" s="14">
        <f t="shared" si="8"/>
        <v>12.035019999999999</v>
      </c>
      <c r="GG39" s="14">
        <f t="shared" si="9"/>
        <v>5.9759450616529417</v>
      </c>
      <c r="GH39" s="4">
        <f t="shared" si="10"/>
        <v>0.49654633408610388</v>
      </c>
      <c r="GI39" s="3">
        <f t="shared" si="11"/>
        <v>88262.269724775848</v>
      </c>
      <c r="GJ39" s="3">
        <f t="shared" si="12"/>
        <v>3.5700000000000003</v>
      </c>
      <c r="GK39" s="17">
        <f t="shared" si="13"/>
        <v>66861.222222222219</v>
      </c>
      <c r="GL39" s="4">
        <f t="shared" si="14"/>
        <v>0.72222222222222221</v>
      </c>
      <c r="GM39" s="3">
        <f t="shared" si="15"/>
        <v>3.25</v>
      </c>
      <c r="GN39" s="14">
        <f t="shared" si="16"/>
        <v>0</v>
      </c>
      <c r="GO39" s="3">
        <f t="shared" si="17"/>
        <v>1.6721838235294118</v>
      </c>
      <c r="GP39" s="35">
        <f t="shared" si="18"/>
        <v>13</v>
      </c>
      <c r="GQ39" s="35">
        <f t="shared" si="19"/>
        <v>5</v>
      </c>
      <c r="GR39" s="35">
        <f t="shared" si="20"/>
        <v>18</v>
      </c>
    </row>
    <row r="40" spans="1:200" x14ac:dyDescent="0.35">
      <c r="A40" s="3" t="s">
        <v>51</v>
      </c>
      <c r="B40" s="2" t="s">
        <v>142</v>
      </c>
      <c r="C40" s="2" t="s">
        <v>127</v>
      </c>
      <c r="D40" s="2" t="s">
        <v>107</v>
      </c>
      <c r="E40" s="3" t="s">
        <v>85</v>
      </c>
      <c r="F40" s="18"/>
      <c r="G40" s="14">
        <v>3</v>
      </c>
      <c r="H40" s="17">
        <v>3.5616104000000002</v>
      </c>
      <c r="I40" s="6">
        <v>-0.61549169126990066</v>
      </c>
      <c r="J40" s="4">
        <f t="shared" si="0"/>
        <v>-0.17281275101563626</v>
      </c>
      <c r="K40" s="3">
        <v>100653.05280168437</v>
      </c>
      <c r="L40" s="17">
        <v>4.1499999999999995</v>
      </c>
      <c r="M40" s="17">
        <f t="shared" si="1"/>
        <v>100000</v>
      </c>
      <c r="N40" s="4">
        <f t="shared" si="2"/>
        <v>1</v>
      </c>
      <c r="O40" s="3">
        <v>0.96774193548387089</v>
      </c>
      <c r="P40" s="6"/>
      <c r="Q40" s="7">
        <v>0.85821927710843393</v>
      </c>
      <c r="R40" s="30">
        <v>3</v>
      </c>
      <c r="S40" s="30">
        <v>0</v>
      </c>
      <c r="T40" s="30">
        <f t="shared" si="3"/>
        <v>3</v>
      </c>
      <c r="V40" s="14">
        <v>4</v>
      </c>
      <c r="W40" s="17">
        <v>6.72</v>
      </c>
      <c r="X40" s="6">
        <v>2.6198613219894775</v>
      </c>
      <c r="Y40" s="4">
        <f t="shared" si="4"/>
        <v>0.38986031577224367</v>
      </c>
      <c r="Z40" s="3">
        <v>101254.0431892864</v>
      </c>
      <c r="AA40" s="17">
        <v>3.8499999999999996</v>
      </c>
      <c r="AB40" s="17">
        <v>61090.909090909081</v>
      </c>
      <c r="AC40" s="4">
        <f t="shared" si="5"/>
        <v>1</v>
      </c>
      <c r="AD40" s="6">
        <v>3.5483870967741935</v>
      </c>
      <c r="AE40" s="3"/>
      <c r="AF40" s="7">
        <v>1.7454545454545456</v>
      </c>
      <c r="AG40" s="30">
        <v>11</v>
      </c>
      <c r="AH40" s="30">
        <v>0</v>
      </c>
      <c r="AI40" s="30">
        <f t="shared" si="6"/>
        <v>11</v>
      </c>
      <c r="AK40" s="14"/>
      <c r="AL40" s="17"/>
      <c r="AM40" s="3"/>
      <c r="AN40" s="4"/>
      <c r="AO40" s="3"/>
      <c r="AP40" s="17"/>
      <c r="AQ40" s="17"/>
      <c r="AR40" s="6"/>
      <c r="AS40" s="3"/>
      <c r="AT40" s="3"/>
      <c r="AU40" s="7"/>
      <c r="AV40" s="8"/>
      <c r="AW40" s="8"/>
      <c r="AX40" s="8"/>
      <c r="AZ40" s="14"/>
      <c r="BA40" s="17"/>
      <c r="BB40" s="3"/>
      <c r="BC40" s="4"/>
      <c r="BD40" s="3"/>
      <c r="BE40" s="17"/>
      <c r="BF40" s="17"/>
      <c r="BG40" s="6"/>
      <c r="BH40" s="3"/>
      <c r="BI40" s="3"/>
      <c r="BJ40" s="7"/>
      <c r="BK40" s="8"/>
      <c r="BL40" s="8"/>
      <c r="BM40" s="8"/>
      <c r="BO40" s="14"/>
      <c r="BP40" s="17"/>
      <c r="BQ40" s="3"/>
      <c r="BR40" s="4"/>
      <c r="BS40" s="3"/>
      <c r="BT40" s="17"/>
      <c r="BU40" s="17"/>
      <c r="BV40" s="6"/>
      <c r="BW40" s="3"/>
      <c r="BX40" s="3"/>
      <c r="BY40" s="7"/>
      <c r="BZ40" s="8"/>
      <c r="CA40" s="8"/>
      <c r="CB40" s="8"/>
      <c r="CD40" s="14"/>
      <c r="CE40" s="17"/>
      <c r="CF40" s="3"/>
      <c r="CG40" s="4"/>
      <c r="CH40" s="3"/>
      <c r="CI40" s="17"/>
      <c r="CJ40" s="17"/>
      <c r="CK40" s="6"/>
      <c r="CL40" s="3"/>
      <c r="CM40" s="3"/>
      <c r="CN40" s="7"/>
      <c r="CO40" s="8"/>
      <c r="CP40" s="8"/>
      <c r="CQ40" s="8"/>
      <c r="CS40" s="14"/>
      <c r="CT40" s="17"/>
      <c r="CU40" s="3"/>
      <c r="CV40" s="4"/>
      <c r="CW40" s="3"/>
      <c r="CX40" s="17"/>
      <c r="CY40" s="17"/>
      <c r="CZ40" s="6"/>
      <c r="DA40" s="3"/>
      <c r="DB40" s="3"/>
      <c r="DC40" s="7"/>
      <c r="DD40" s="8"/>
      <c r="DE40" s="8"/>
      <c r="DF40" s="8"/>
      <c r="DH40" s="14"/>
      <c r="DI40" s="17"/>
      <c r="DJ40" s="3"/>
      <c r="DK40" s="4"/>
      <c r="DL40" s="3"/>
      <c r="DM40" s="17"/>
      <c r="DN40" s="17"/>
      <c r="DO40" s="6"/>
      <c r="DP40" s="3"/>
      <c r="DQ40" s="3"/>
      <c r="DR40" s="7"/>
      <c r="DS40" s="8"/>
      <c r="DT40" s="8"/>
      <c r="DU40" s="8"/>
      <c r="DW40" s="14"/>
      <c r="DX40" s="17"/>
      <c r="DY40" s="3"/>
      <c r="DZ40" s="4"/>
      <c r="EA40" s="3"/>
      <c r="EB40" s="17"/>
      <c r="EC40" s="17"/>
      <c r="ED40" s="6"/>
      <c r="EE40" s="3"/>
      <c r="EF40" s="3"/>
      <c r="EG40" s="7"/>
      <c r="EH40" s="8"/>
      <c r="EI40" s="8"/>
      <c r="EJ40" s="8"/>
      <c r="EL40" s="14"/>
      <c r="EM40" s="17"/>
      <c r="EN40" s="3"/>
      <c r="EO40" s="4"/>
      <c r="EP40" s="3"/>
      <c r="EQ40" s="17"/>
      <c r="ER40" s="17"/>
      <c r="ES40" s="6"/>
      <c r="ET40" s="3"/>
      <c r="EU40" s="3"/>
      <c r="EV40" s="7"/>
      <c r="EW40" s="8"/>
      <c r="EX40" s="8"/>
      <c r="EY40" s="8"/>
      <c r="FA40" s="14"/>
      <c r="FB40" s="17"/>
      <c r="FC40" s="3"/>
      <c r="FD40" s="4"/>
      <c r="FE40" s="3"/>
      <c r="FF40" s="17"/>
      <c r="FG40" s="17"/>
      <c r="FH40" s="6"/>
      <c r="FI40" s="3"/>
      <c r="FJ40" s="3"/>
      <c r="FK40" s="7"/>
      <c r="FL40" s="8"/>
      <c r="FM40" s="8"/>
      <c r="FN40" s="8"/>
      <c r="FP40" s="14"/>
      <c r="FQ40" s="17"/>
      <c r="FR40" s="3"/>
      <c r="FS40" s="4"/>
      <c r="FT40" s="3"/>
      <c r="FU40" s="17"/>
      <c r="FV40" s="17"/>
      <c r="FW40" s="6"/>
      <c r="FX40" s="3"/>
      <c r="FY40" s="3"/>
      <c r="FZ40" s="7"/>
      <c r="GA40" s="8"/>
      <c r="GB40" s="8"/>
      <c r="GC40" s="8"/>
      <c r="GE40" s="14">
        <f t="shared" si="7"/>
        <v>7</v>
      </c>
      <c r="GF40" s="14">
        <f t="shared" si="8"/>
        <v>10.2816104</v>
      </c>
      <c r="GG40" s="14">
        <f t="shared" si="9"/>
        <v>2.0043696307195766</v>
      </c>
      <c r="GH40" s="4">
        <f t="shared" si="10"/>
        <v>0.19494705136070675</v>
      </c>
      <c r="GI40" s="3">
        <f t="shared" si="11"/>
        <v>100953.54799548539</v>
      </c>
      <c r="GJ40" s="3">
        <f t="shared" si="12"/>
        <v>3.9999999999999996</v>
      </c>
      <c r="GK40" s="17">
        <f t="shared" si="13"/>
        <v>73440.07428571429</v>
      </c>
      <c r="GL40" s="4">
        <f t="shared" si="14"/>
        <v>1</v>
      </c>
      <c r="GM40" s="3">
        <f t="shared" si="15"/>
        <v>2.258064516129032</v>
      </c>
      <c r="GN40" s="14">
        <f t="shared" si="16"/>
        <v>0</v>
      </c>
      <c r="GO40" s="3">
        <f t="shared" si="17"/>
        <v>1.3018369112814898</v>
      </c>
      <c r="GP40" s="35">
        <f t="shared" si="18"/>
        <v>14</v>
      </c>
      <c r="GQ40" s="35">
        <f t="shared" si="19"/>
        <v>0</v>
      </c>
      <c r="GR40" s="35">
        <f t="shared" si="20"/>
        <v>14</v>
      </c>
    </row>
    <row r="41" spans="1:200" x14ac:dyDescent="0.35">
      <c r="A41" s="3" t="s">
        <v>64</v>
      </c>
      <c r="B41" s="2" t="s">
        <v>142</v>
      </c>
      <c r="C41" s="2" t="s">
        <v>84</v>
      </c>
      <c r="D41" s="2" t="s">
        <v>107</v>
      </c>
      <c r="E41" s="3" t="s">
        <v>2</v>
      </c>
      <c r="F41" s="18"/>
      <c r="G41" s="14">
        <v>0</v>
      </c>
      <c r="H41" s="17">
        <v>0</v>
      </c>
      <c r="I41" s="6">
        <v>0</v>
      </c>
      <c r="J41" s="4">
        <f t="shared" si="0"/>
        <v>0</v>
      </c>
      <c r="K41" s="3">
        <v>0</v>
      </c>
      <c r="L41" s="17">
        <v>0</v>
      </c>
      <c r="M41" s="17">
        <f t="shared" si="1"/>
        <v>0</v>
      </c>
      <c r="N41" s="4">
        <f t="shared" si="2"/>
        <v>0</v>
      </c>
      <c r="O41" s="3"/>
      <c r="P41" s="6"/>
      <c r="Q41" s="7"/>
      <c r="R41" s="30">
        <v>0</v>
      </c>
      <c r="S41" s="30">
        <v>0</v>
      </c>
      <c r="T41" s="30">
        <f t="shared" si="3"/>
        <v>0</v>
      </c>
      <c r="V41" s="14">
        <v>0</v>
      </c>
      <c r="W41" s="17">
        <v>0</v>
      </c>
      <c r="X41" s="6">
        <v>0</v>
      </c>
      <c r="Y41" s="4">
        <f t="shared" si="4"/>
        <v>0</v>
      </c>
      <c r="Z41" s="3"/>
      <c r="AA41" s="17">
        <v>0</v>
      </c>
      <c r="AB41" s="17"/>
      <c r="AC41" s="4">
        <f t="shared" si="5"/>
        <v>0</v>
      </c>
      <c r="AD41" s="6"/>
      <c r="AE41" s="3"/>
      <c r="AF41" s="7">
        <v>0</v>
      </c>
      <c r="AG41" s="30"/>
      <c r="AH41" s="30">
        <v>0</v>
      </c>
      <c r="AI41" s="30">
        <f t="shared" si="6"/>
        <v>0</v>
      </c>
      <c r="AK41" s="14"/>
      <c r="AL41" s="17"/>
      <c r="AM41" s="3"/>
      <c r="AN41" s="4"/>
      <c r="AO41" s="3"/>
      <c r="AP41" s="17"/>
      <c r="AQ41" s="17"/>
      <c r="AR41" s="6"/>
      <c r="AS41" s="3"/>
      <c r="AT41" s="3"/>
      <c r="AU41" s="7"/>
      <c r="AV41" s="8"/>
      <c r="AW41" s="8"/>
      <c r="AX41" s="8"/>
      <c r="AZ41" s="14"/>
      <c r="BA41" s="17"/>
      <c r="BB41" s="3"/>
      <c r="BC41" s="4"/>
      <c r="BD41" s="3"/>
      <c r="BE41" s="17"/>
      <c r="BF41" s="17"/>
      <c r="BG41" s="6"/>
      <c r="BH41" s="3"/>
      <c r="BI41" s="3"/>
      <c r="BJ41" s="7"/>
      <c r="BK41" s="8"/>
      <c r="BL41" s="8"/>
      <c r="BM41" s="8"/>
      <c r="BO41" s="14"/>
      <c r="BP41" s="17"/>
      <c r="BQ41" s="3"/>
      <c r="BR41" s="4"/>
      <c r="BS41" s="3"/>
      <c r="BT41" s="17"/>
      <c r="BU41" s="17"/>
      <c r="BV41" s="6"/>
      <c r="BW41" s="3"/>
      <c r="BX41" s="3"/>
      <c r="BY41" s="7"/>
      <c r="BZ41" s="8"/>
      <c r="CA41" s="8"/>
      <c r="CB41" s="8"/>
      <c r="CD41" s="14"/>
      <c r="CE41" s="17"/>
      <c r="CF41" s="3"/>
      <c r="CG41" s="4"/>
      <c r="CH41" s="3"/>
      <c r="CI41" s="17"/>
      <c r="CJ41" s="17"/>
      <c r="CK41" s="6"/>
      <c r="CL41" s="3"/>
      <c r="CM41" s="3"/>
      <c r="CN41" s="7"/>
      <c r="CO41" s="8"/>
      <c r="CP41" s="8"/>
      <c r="CQ41" s="8"/>
      <c r="CS41" s="14"/>
      <c r="CT41" s="17"/>
      <c r="CU41" s="3"/>
      <c r="CV41" s="4"/>
      <c r="CW41" s="3"/>
      <c r="CX41" s="17"/>
      <c r="CY41" s="17"/>
      <c r="CZ41" s="6"/>
      <c r="DA41" s="3"/>
      <c r="DB41" s="3"/>
      <c r="DC41" s="7"/>
      <c r="DD41" s="8"/>
      <c r="DE41" s="8"/>
      <c r="DF41" s="8"/>
      <c r="DH41" s="14"/>
      <c r="DI41" s="17"/>
      <c r="DJ41" s="3"/>
      <c r="DK41" s="4"/>
      <c r="DL41" s="3"/>
      <c r="DM41" s="17"/>
      <c r="DN41" s="17"/>
      <c r="DO41" s="6"/>
      <c r="DP41" s="3"/>
      <c r="DQ41" s="3"/>
      <c r="DR41" s="7"/>
      <c r="DS41" s="8"/>
      <c r="DT41" s="8"/>
      <c r="DU41" s="8"/>
      <c r="DW41" s="14"/>
      <c r="DX41" s="17"/>
      <c r="DY41" s="3"/>
      <c r="DZ41" s="4"/>
      <c r="EA41" s="3"/>
      <c r="EB41" s="17"/>
      <c r="EC41" s="17"/>
      <c r="ED41" s="6"/>
      <c r="EE41" s="3"/>
      <c r="EF41" s="3"/>
      <c r="EG41" s="7"/>
      <c r="EH41" s="8"/>
      <c r="EI41" s="8"/>
      <c r="EJ41" s="8"/>
      <c r="EL41" s="14"/>
      <c r="EM41" s="17"/>
      <c r="EN41" s="3"/>
      <c r="EO41" s="4"/>
      <c r="EP41" s="3"/>
      <c r="EQ41" s="17"/>
      <c r="ER41" s="17"/>
      <c r="ES41" s="6"/>
      <c r="ET41" s="3"/>
      <c r="EU41" s="3"/>
      <c r="EV41" s="7"/>
      <c r="EW41" s="8"/>
      <c r="EX41" s="8"/>
      <c r="EY41" s="8"/>
      <c r="FA41" s="14"/>
      <c r="FB41" s="17"/>
      <c r="FC41" s="3"/>
      <c r="FD41" s="4"/>
      <c r="FE41" s="3"/>
      <c r="FF41" s="17"/>
      <c r="FG41" s="17"/>
      <c r="FH41" s="6"/>
      <c r="FI41" s="3"/>
      <c r="FJ41" s="3"/>
      <c r="FK41" s="7"/>
      <c r="FL41" s="8"/>
      <c r="FM41" s="8"/>
      <c r="FN41" s="8"/>
      <c r="FP41" s="14"/>
      <c r="FQ41" s="17"/>
      <c r="FR41" s="3"/>
      <c r="FS41" s="4"/>
      <c r="FT41" s="3"/>
      <c r="FU41" s="17"/>
      <c r="FV41" s="17"/>
      <c r="FW41" s="6"/>
      <c r="FX41" s="3"/>
      <c r="FY41" s="3"/>
      <c r="FZ41" s="7"/>
      <c r="GA41" s="8"/>
      <c r="GB41" s="8"/>
      <c r="GC41" s="8"/>
      <c r="GE41" s="14">
        <f t="shared" si="7"/>
        <v>0</v>
      </c>
      <c r="GF41" s="14">
        <f t="shared" si="8"/>
        <v>0</v>
      </c>
      <c r="GG41" s="14">
        <f t="shared" si="9"/>
        <v>0</v>
      </c>
      <c r="GH41" s="4">
        <f t="shared" si="10"/>
        <v>0</v>
      </c>
      <c r="GI41" s="3">
        <f t="shared" si="11"/>
        <v>0</v>
      </c>
      <c r="GJ41" s="3">
        <f t="shared" si="12"/>
        <v>0</v>
      </c>
      <c r="GK41" s="17" t="e">
        <f t="shared" si="13"/>
        <v>#DIV/0!</v>
      </c>
      <c r="GL41" s="4" t="e">
        <f t="shared" si="14"/>
        <v>#DIV/0!</v>
      </c>
      <c r="GM41" s="3" t="e">
        <f t="shared" si="15"/>
        <v>#DIV/0!</v>
      </c>
      <c r="GN41" s="14">
        <f t="shared" si="16"/>
        <v>0</v>
      </c>
      <c r="GO41" s="3">
        <f t="shared" si="17"/>
        <v>0</v>
      </c>
      <c r="GP41" s="35">
        <f t="shared" si="18"/>
        <v>0</v>
      </c>
      <c r="GQ41" s="35">
        <f t="shared" si="19"/>
        <v>0</v>
      </c>
      <c r="GR41" s="35">
        <f t="shared" si="20"/>
        <v>0</v>
      </c>
    </row>
    <row r="42" spans="1:200" x14ac:dyDescent="0.35">
      <c r="A42" s="3" t="s">
        <v>52</v>
      </c>
      <c r="B42" s="2" t="s">
        <v>142</v>
      </c>
      <c r="C42" s="2" t="s">
        <v>127</v>
      </c>
      <c r="D42" s="2" t="s">
        <v>107</v>
      </c>
      <c r="E42" s="3" t="s">
        <v>85</v>
      </c>
      <c r="F42" s="18"/>
      <c r="G42" s="14">
        <v>9.5</v>
      </c>
      <c r="H42" s="17">
        <v>10.17</v>
      </c>
      <c r="I42" s="6">
        <v>4.66027499103072</v>
      </c>
      <c r="J42" s="4">
        <f t="shared" si="0"/>
        <v>0.45823746224490858</v>
      </c>
      <c r="K42" s="3">
        <v>112443.36752998531</v>
      </c>
      <c r="L42" s="17">
        <v>4.9000000000000004</v>
      </c>
      <c r="M42" s="17">
        <f t="shared" si="1"/>
        <v>47500</v>
      </c>
      <c r="N42" s="4">
        <f t="shared" si="2"/>
        <v>0.35</v>
      </c>
      <c r="O42" s="3">
        <v>2.1538461538461537</v>
      </c>
      <c r="P42" s="6"/>
      <c r="Q42" s="7">
        <v>2.0755102040816324</v>
      </c>
      <c r="R42" s="30">
        <v>7</v>
      </c>
      <c r="S42" s="30">
        <v>13</v>
      </c>
      <c r="T42" s="30">
        <f t="shared" si="3"/>
        <v>20</v>
      </c>
      <c r="V42" s="14">
        <v>9.5</v>
      </c>
      <c r="W42" s="17">
        <v>10.19</v>
      </c>
      <c r="X42" s="6">
        <v>5.1888953385741541</v>
      </c>
      <c r="Y42" s="4">
        <f t="shared" si="4"/>
        <v>0.50921445913387187</v>
      </c>
      <c r="Z42" s="3">
        <v>107958.45601050773</v>
      </c>
      <c r="AA42" s="17">
        <v>4.7</v>
      </c>
      <c r="AB42" s="17">
        <v>113222.22222222222</v>
      </c>
      <c r="AC42" s="4">
        <f t="shared" si="5"/>
        <v>0.88888888888888884</v>
      </c>
      <c r="AD42" s="6">
        <v>2.5</v>
      </c>
      <c r="AE42" s="3"/>
      <c r="AF42" s="7">
        <v>2.1680851063829785</v>
      </c>
      <c r="AG42" s="30">
        <v>8</v>
      </c>
      <c r="AH42" s="30">
        <v>1</v>
      </c>
      <c r="AI42" s="30">
        <f t="shared" si="6"/>
        <v>9</v>
      </c>
      <c r="AK42" s="14"/>
      <c r="AL42" s="17"/>
      <c r="AM42" s="3"/>
      <c r="AN42" s="4"/>
      <c r="AO42" s="3"/>
      <c r="AP42" s="17"/>
      <c r="AQ42" s="17"/>
      <c r="AR42" s="6"/>
      <c r="AS42" s="3"/>
      <c r="AT42" s="3"/>
      <c r="AU42" s="7"/>
      <c r="AV42" s="8"/>
      <c r="AW42" s="8"/>
      <c r="AX42" s="8"/>
      <c r="AZ42" s="14"/>
      <c r="BA42" s="17"/>
      <c r="BB42" s="3"/>
      <c r="BC42" s="4"/>
      <c r="BD42" s="3"/>
      <c r="BE42" s="17"/>
      <c r="BF42" s="17"/>
      <c r="BG42" s="6"/>
      <c r="BH42" s="3"/>
      <c r="BI42" s="3"/>
      <c r="BJ42" s="7"/>
      <c r="BK42" s="8"/>
      <c r="BL42" s="8"/>
      <c r="BM42" s="8"/>
      <c r="BO42" s="14"/>
      <c r="BP42" s="17"/>
      <c r="BQ42" s="3"/>
      <c r="BR42" s="4"/>
      <c r="BS42" s="3"/>
      <c r="BT42" s="17"/>
      <c r="BU42" s="17"/>
      <c r="BV42" s="6"/>
      <c r="BW42" s="3"/>
      <c r="BX42" s="3"/>
      <c r="BY42" s="7"/>
      <c r="BZ42" s="8"/>
      <c r="CA42" s="8"/>
      <c r="CB42" s="8"/>
      <c r="CD42" s="14"/>
      <c r="CE42" s="17"/>
      <c r="CF42" s="3"/>
      <c r="CG42" s="4"/>
      <c r="CH42" s="3"/>
      <c r="CI42" s="17"/>
      <c r="CJ42" s="17"/>
      <c r="CK42" s="6"/>
      <c r="CL42" s="3"/>
      <c r="CM42" s="3"/>
      <c r="CN42" s="7"/>
      <c r="CO42" s="8"/>
      <c r="CP42" s="8"/>
      <c r="CQ42" s="8"/>
      <c r="CS42" s="14"/>
      <c r="CT42" s="17"/>
      <c r="CU42" s="3"/>
      <c r="CV42" s="4"/>
      <c r="CW42" s="3"/>
      <c r="CX42" s="17"/>
      <c r="CY42" s="17"/>
      <c r="CZ42" s="6"/>
      <c r="DA42" s="3"/>
      <c r="DB42" s="3"/>
      <c r="DC42" s="7"/>
      <c r="DD42" s="8"/>
      <c r="DE42" s="8"/>
      <c r="DF42" s="8"/>
      <c r="DH42" s="14"/>
      <c r="DI42" s="17"/>
      <c r="DJ42" s="3"/>
      <c r="DK42" s="4"/>
      <c r="DL42" s="3"/>
      <c r="DM42" s="17"/>
      <c r="DN42" s="17"/>
      <c r="DO42" s="6"/>
      <c r="DP42" s="3"/>
      <c r="DQ42" s="3"/>
      <c r="DR42" s="7"/>
      <c r="DS42" s="8"/>
      <c r="DT42" s="8"/>
      <c r="DU42" s="8"/>
      <c r="DW42" s="14"/>
      <c r="DX42" s="17"/>
      <c r="DY42" s="3"/>
      <c r="DZ42" s="4"/>
      <c r="EA42" s="3"/>
      <c r="EB42" s="17"/>
      <c r="EC42" s="17"/>
      <c r="ED42" s="6"/>
      <c r="EE42" s="3"/>
      <c r="EF42" s="3"/>
      <c r="EG42" s="7"/>
      <c r="EH42" s="8"/>
      <c r="EI42" s="8"/>
      <c r="EJ42" s="8"/>
      <c r="EL42" s="14"/>
      <c r="EM42" s="17"/>
      <c r="EN42" s="3"/>
      <c r="EO42" s="4"/>
      <c r="EP42" s="3"/>
      <c r="EQ42" s="17"/>
      <c r="ER42" s="17"/>
      <c r="ES42" s="6"/>
      <c r="ET42" s="3"/>
      <c r="EU42" s="3"/>
      <c r="EV42" s="7"/>
      <c r="EW42" s="8"/>
      <c r="EX42" s="8"/>
      <c r="EY42" s="8"/>
      <c r="FA42" s="14"/>
      <c r="FB42" s="17"/>
      <c r="FC42" s="3"/>
      <c r="FD42" s="4"/>
      <c r="FE42" s="3"/>
      <c r="FF42" s="17"/>
      <c r="FG42" s="17"/>
      <c r="FH42" s="6"/>
      <c r="FI42" s="3"/>
      <c r="FJ42" s="3"/>
      <c r="FK42" s="7"/>
      <c r="FL42" s="8"/>
      <c r="FM42" s="8"/>
      <c r="FN42" s="8"/>
      <c r="FP42" s="14"/>
      <c r="FQ42" s="17"/>
      <c r="FR42" s="3"/>
      <c r="FS42" s="4"/>
      <c r="FT42" s="3"/>
      <c r="FU42" s="17"/>
      <c r="FV42" s="17"/>
      <c r="FW42" s="6"/>
      <c r="FX42" s="3"/>
      <c r="FY42" s="3"/>
      <c r="FZ42" s="7"/>
      <c r="GA42" s="8"/>
      <c r="GB42" s="8"/>
      <c r="GC42" s="8"/>
      <c r="GE42" s="14">
        <f t="shared" si="7"/>
        <v>19</v>
      </c>
      <c r="GF42" s="14">
        <f t="shared" si="8"/>
        <v>20.36</v>
      </c>
      <c r="GG42" s="14">
        <f t="shared" si="9"/>
        <v>9.849170329604874</v>
      </c>
      <c r="GH42" s="4">
        <f t="shared" si="10"/>
        <v>0.48375099850711561</v>
      </c>
      <c r="GI42" s="3">
        <f t="shared" si="11"/>
        <v>110200.91177024652</v>
      </c>
      <c r="GJ42" s="3">
        <f t="shared" si="12"/>
        <v>4.8000000000000007</v>
      </c>
      <c r="GK42" s="17">
        <f t="shared" si="13"/>
        <v>70206.896551724145</v>
      </c>
      <c r="GL42" s="4">
        <f t="shared" si="14"/>
        <v>0.51724137931034486</v>
      </c>
      <c r="GM42" s="3">
        <f t="shared" si="15"/>
        <v>2.3269230769230766</v>
      </c>
      <c r="GN42" s="14">
        <f t="shared" si="16"/>
        <v>0</v>
      </c>
      <c r="GO42" s="3">
        <f t="shared" si="17"/>
        <v>2.1217976552323057</v>
      </c>
      <c r="GP42" s="35">
        <f t="shared" si="18"/>
        <v>15</v>
      </c>
      <c r="GQ42" s="35">
        <f t="shared" si="19"/>
        <v>14</v>
      </c>
      <c r="GR42" s="35">
        <f t="shared" si="20"/>
        <v>29</v>
      </c>
    </row>
    <row r="43" spans="1:200" x14ac:dyDescent="0.35">
      <c r="A43" s="3" t="s">
        <v>53</v>
      </c>
      <c r="B43" s="2" t="s">
        <v>146</v>
      </c>
      <c r="C43" s="2" t="s">
        <v>84</v>
      </c>
      <c r="D43" s="2" t="s">
        <v>107</v>
      </c>
      <c r="E43" s="3" t="s">
        <v>70</v>
      </c>
      <c r="F43" s="18"/>
      <c r="G43" s="14">
        <v>0</v>
      </c>
      <c r="H43" s="17">
        <v>0</v>
      </c>
      <c r="I43" s="6">
        <v>-0.71279775693250613</v>
      </c>
      <c r="J43" s="4">
        <f t="shared" si="0"/>
        <v>0</v>
      </c>
      <c r="K43" s="3">
        <v>71279.775693250616</v>
      </c>
      <c r="L43" s="17">
        <v>1</v>
      </c>
      <c r="M43" s="17">
        <f t="shared" si="1"/>
        <v>0</v>
      </c>
      <c r="N43" s="4">
        <f t="shared" si="2"/>
        <v>0</v>
      </c>
      <c r="O43" s="3">
        <v>0</v>
      </c>
      <c r="P43" s="6"/>
      <c r="Q43" s="7"/>
      <c r="R43" s="30">
        <v>0</v>
      </c>
      <c r="S43" s="30">
        <v>0</v>
      </c>
      <c r="T43" s="30">
        <f t="shared" si="3"/>
        <v>0</v>
      </c>
      <c r="V43" s="14">
        <v>0</v>
      </c>
      <c r="W43" s="17">
        <v>0</v>
      </c>
      <c r="X43" s="6">
        <v>-1.216230198998107</v>
      </c>
      <c r="Y43" s="4">
        <f t="shared" si="4"/>
        <v>0</v>
      </c>
      <c r="Z43" s="3">
        <v>103883.29643603964</v>
      </c>
      <c r="AA43" s="17">
        <v>1.2</v>
      </c>
      <c r="AB43" s="17"/>
      <c r="AC43" s="4">
        <f t="shared" si="5"/>
        <v>0</v>
      </c>
      <c r="AD43" s="6">
        <v>0</v>
      </c>
      <c r="AE43" s="3"/>
      <c r="AF43" s="7">
        <v>0</v>
      </c>
      <c r="AG43" s="30">
        <v>0</v>
      </c>
      <c r="AH43" s="30">
        <v>0</v>
      </c>
      <c r="AI43" s="30">
        <f t="shared" si="6"/>
        <v>0</v>
      </c>
      <c r="AK43" s="14"/>
      <c r="AL43" s="17"/>
      <c r="AM43" s="3"/>
      <c r="AN43" s="4"/>
      <c r="AO43" s="3"/>
      <c r="AP43" s="17"/>
      <c r="AQ43" s="17"/>
      <c r="AR43" s="6"/>
      <c r="AS43" s="3"/>
      <c r="AT43" s="3"/>
      <c r="AU43" s="7"/>
      <c r="AV43" s="8"/>
      <c r="AW43" s="8"/>
      <c r="AX43" s="8"/>
      <c r="AZ43" s="14"/>
      <c r="BA43" s="17"/>
      <c r="BB43" s="3"/>
      <c r="BC43" s="4"/>
      <c r="BD43" s="3"/>
      <c r="BE43" s="17"/>
      <c r="BF43" s="17"/>
      <c r="BG43" s="6"/>
      <c r="BH43" s="3"/>
      <c r="BI43" s="3"/>
      <c r="BJ43" s="7"/>
      <c r="BK43" s="8"/>
      <c r="BL43" s="8"/>
      <c r="BM43" s="8"/>
      <c r="BO43" s="14"/>
      <c r="BP43" s="17"/>
      <c r="BQ43" s="3"/>
      <c r="BR43" s="4"/>
      <c r="BS43" s="3"/>
      <c r="BT43" s="17"/>
      <c r="BU43" s="17"/>
      <c r="BV43" s="6"/>
      <c r="BW43" s="3"/>
      <c r="BX43" s="3"/>
      <c r="BY43" s="7"/>
      <c r="BZ43" s="8"/>
      <c r="CA43" s="8"/>
      <c r="CB43" s="8"/>
      <c r="CD43" s="14"/>
      <c r="CE43" s="17"/>
      <c r="CF43" s="3"/>
      <c r="CG43" s="4"/>
      <c r="CH43" s="3"/>
      <c r="CI43" s="17"/>
      <c r="CJ43" s="17"/>
      <c r="CK43" s="6"/>
      <c r="CL43" s="3"/>
      <c r="CM43" s="3"/>
      <c r="CN43" s="7"/>
      <c r="CO43" s="8"/>
      <c r="CP43" s="8"/>
      <c r="CQ43" s="8"/>
      <c r="CS43" s="14"/>
      <c r="CT43" s="17"/>
      <c r="CU43" s="3"/>
      <c r="CV43" s="4"/>
      <c r="CW43" s="3"/>
      <c r="CX43" s="17"/>
      <c r="CY43" s="17"/>
      <c r="CZ43" s="6"/>
      <c r="DA43" s="3"/>
      <c r="DB43" s="3"/>
      <c r="DC43" s="7"/>
      <c r="DD43" s="8"/>
      <c r="DE43" s="8"/>
      <c r="DF43" s="8"/>
      <c r="DH43" s="14"/>
      <c r="DI43" s="17"/>
      <c r="DJ43" s="3"/>
      <c r="DK43" s="4"/>
      <c r="DL43" s="3"/>
      <c r="DM43" s="17"/>
      <c r="DN43" s="17"/>
      <c r="DO43" s="6"/>
      <c r="DP43" s="3"/>
      <c r="DQ43" s="3"/>
      <c r="DR43" s="7"/>
      <c r="DS43" s="8"/>
      <c r="DT43" s="8"/>
      <c r="DU43" s="8"/>
      <c r="DW43" s="14"/>
      <c r="DX43" s="17"/>
      <c r="DY43" s="3"/>
      <c r="DZ43" s="4"/>
      <c r="EA43" s="3"/>
      <c r="EB43" s="17"/>
      <c r="EC43" s="17"/>
      <c r="ED43" s="6"/>
      <c r="EE43" s="3"/>
      <c r="EF43" s="3"/>
      <c r="EG43" s="7"/>
      <c r="EH43" s="8"/>
      <c r="EI43" s="8"/>
      <c r="EJ43" s="8"/>
      <c r="EL43" s="14"/>
      <c r="EM43" s="17"/>
      <c r="EN43" s="3"/>
      <c r="EO43" s="4"/>
      <c r="EP43" s="3"/>
      <c r="EQ43" s="17"/>
      <c r="ER43" s="17"/>
      <c r="ES43" s="6"/>
      <c r="ET43" s="3"/>
      <c r="EU43" s="3"/>
      <c r="EV43" s="7"/>
      <c r="EW43" s="8"/>
      <c r="EX43" s="8"/>
      <c r="EY43" s="8"/>
      <c r="FA43" s="14"/>
      <c r="FB43" s="17"/>
      <c r="FC43" s="3"/>
      <c r="FD43" s="4"/>
      <c r="FE43" s="3"/>
      <c r="FF43" s="17"/>
      <c r="FG43" s="17"/>
      <c r="FH43" s="6"/>
      <c r="FI43" s="3"/>
      <c r="FJ43" s="3"/>
      <c r="FK43" s="7"/>
      <c r="FL43" s="8"/>
      <c r="FM43" s="8"/>
      <c r="FN43" s="8"/>
      <c r="FP43" s="14"/>
      <c r="FQ43" s="17"/>
      <c r="FR43" s="3"/>
      <c r="FS43" s="4"/>
      <c r="FT43" s="3"/>
      <c r="FU43" s="17"/>
      <c r="FV43" s="17"/>
      <c r="FW43" s="6"/>
      <c r="FX43" s="3"/>
      <c r="FY43" s="3"/>
      <c r="FZ43" s="7"/>
      <c r="GA43" s="8"/>
      <c r="GB43" s="8"/>
      <c r="GC43" s="8"/>
      <c r="GE43" s="14">
        <f t="shared" si="7"/>
        <v>0</v>
      </c>
      <c r="GF43" s="14">
        <f t="shared" si="8"/>
        <v>0</v>
      </c>
      <c r="GG43" s="14">
        <f t="shared" si="9"/>
        <v>-1.9290279559306132</v>
      </c>
      <c r="GH43" s="4">
        <f t="shared" si="10"/>
        <v>0</v>
      </c>
      <c r="GI43" s="3">
        <f t="shared" si="11"/>
        <v>87581.53606464513</v>
      </c>
      <c r="GJ43" s="3">
        <f t="shared" si="12"/>
        <v>1.1000000000000001</v>
      </c>
      <c r="GK43" s="17" t="e">
        <f t="shared" si="13"/>
        <v>#DIV/0!</v>
      </c>
      <c r="GL43" s="4" t="e">
        <f t="shared" si="14"/>
        <v>#DIV/0!</v>
      </c>
      <c r="GM43" s="3">
        <f t="shared" si="15"/>
        <v>0</v>
      </c>
      <c r="GN43" s="14">
        <f t="shared" si="16"/>
        <v>0</v>
      </c>
      <c r="GO43" s="3">
        <f t="shared" si="17"/>
        <v>0</v>
      </c>
      <c r="GP43" s="35">
        <f t="shared" si="18"/>
        <v>0</v>
      </c>
      <c r="GQ43" s="35">
        <f t="shared" si="19"/>
        <v>0</v>
      </c>
      <c r="GR43" s="35">
        <f t="shared" si="20"/>
        <v>0</v>
      </c>
    </row>
    <row r="44" spans="1:200" x14ac:dyDescent="0.35">
      <c r="A44" s="3" t="s">
        <v>54</v>
      </c>
      <c r="B44" s="2" t="s">
        <v>146</v>
      </c>
      <c r="C44" s="2" t="s">
        <v>154</v>
      </c>
      <c r="D44" s="2" t="s">
        <v>107</v>
      </c>
      <c r="E44" s="3" t="s">
        <v>70</v>
      </c>
      <c r="F44" s="18"/>
      <c r="G44" s="14">
        <v>7</v>
      </c>
      <c r="H44" s="17">
        <v>2.90625</v>
      </c>
      <c r="I44" s="6">
        <v>-1.1467204875177517</v>
      </c>
      <c r="J44" s="4">
        <f t="shared" si="0"/>
        <v>-0.39457049032868874</v>
      </c>
      <c r="K44" s="3">
        <v>93602.089781010436</v>
      </c>
      <c r="L44" s="17">
        <v>4.33</v>
      </c>
      <c r="M44" s="17">
        <f t="shared" si="1"/>
        <v>700000</v>
      </c>
      <c r="N44" s="4">
        <f t="shared" si="2"/>
        <v>1</v>
      </c>
      <c r="O44" s="3">
        <v>0.33333333333333331</v>
      </c>
      <c r="P44" s="6">
        <f>290625/100000</f>
        <v>2.90625</v>
      </c>
      <c r="Q44" s="7">
        <v>0.67118937644341803</v>
      </c>
      <c r="R44" s="30">
        <v>1</v>
      </c>
      <c r="S44" s="30">
        <v>0</v>
      </c>
      <c r="T44" s="30">
        <f t="shared" si="3"/>
        <v>1</v>
      </c>
      <c r="V44" s="14">
        <v>7</v>
      </c>
      <c r="W44" s="17">
        <v>8.2937499999999993</v>
      </c>
      <c r="X44" s="6">
        <v>3.1799694100719904</v>
      </c>
      <c r="Y44" s="4">
        <f t="shared" si="4"/>
        <v>0.3834175626311368</v>
      </c>
      <c r="Z44" s="3">
        <v>99323.705526948732</v>
      </c>
      <c r="AA44" s="17">
        <v>5.5</v>
      </c>
      <c r="AB44" s="17">
        <v>118482.14285714284</v>
      </c>
      <c r="AC44" s="4">
        <f t="shared" si="5"/>
        <v>1</v>
      </c>
      <c r="AD44" s="6">
        <v>1.75</v>
      </c>
      <c r="AE44" s="3">
        <f>829375/100000</f>
        <v>8.2937499999999993</v>
      </c>
      <c r="AF44" s="7">
        <v>1.5079545454545455</v>
      </c>
      <c r="AG44" s="30">
        <v>7</v>
      </c>
      <c r="AH44" s="30">
        <v>0</v>
      </c>
      <c r="AI44" s="30">
        <f t="shared" si="6"/>
        <v>7</v>
      </c>
      <c r="AK44" s="14"/>
      <c r="AL44" s="17"/>
      <c r="AM44" s="3"/>
      <c r="AN44" s="4"/>
      <c r="AO44" s="3"/>
      <c r="AP44" s="17"/>
      <c r="AQ44" s="17"/>
      <c r="AR44" s="6"/>
      <c r="AS44" s="3"/>
      <c r="AT44" s="3"/>
      <c r="AU44" s="7"/>
      <c r="AV44" s="8"/>
      <c r="AW44" s="8"/>
      <c r="AX44" s="8"/>
      <c r="AZ44" s="14"/>
      <c r="BA44" s="17"/>
      <c r="BB44" s="3"/>
      <c r="BC44" s="4"/>
      <c r="BD44" s="3"/>
      <c r="BE44" s="17"/>
      <c r="BF44" s="17"/>
      <c r="BG44" s="6"/>
      <c r="BH44" s="3"/>
      <c r="BI44" s="3"/>
      <c r="BJ44" s="7"/>
      <c r="BK44" s="8"/>
      <c r="BL44" s="8"/>
      <c r="BM44" s="8"/>
      <c r="BO44" s="14"/>
      <c r="BP44" s="17"/>
      <c r="BQ44" s="3"/>
      <c r="BR44" s="4"/>
      <c r="BS44" s="3"/>
      <c r="BT44" s="17"/>
      <c r="BU44" s="17"/>
      <c r="BV44" s="6"/>
      <c r="BW44" s="3"/>
      <c r="BX44" s="3"/>
      <c r="BY44" s="7"/>
      <c r="BZ44" s="8"/>
      <c r="CA44" s="8"/>
      <c r="CB44" s="8"/>
      <c r="CD44" s="14"/>
      <c r="CE44" s="17"/>
      <c r="CF44" s="3"/>
      <c r="CG44" s="4"/>
      <c r="CH44" s="3"/>
      <c r="CI44" s="17"/>
      <c r="CJ44" s="17"/>
      <c r="CK44" s="6"/>
      <c r="CL44" s="3"/>
      <c r="CM44" s="3"/>
      <c r="CN44" s="7"/>
      <c r="CO44" s="8"/>
      <c r="CP44" s="8"/>
      <c r="CQ44" s="8"/>
      <c r="CS44" s="14"/>
      <c r="CT44" s="17"/>
      <c r="CU44" s="3"/>
      <c r="CV44" s="4"/>
      <c r="CW44" s="3"/>
      <c r="CX44" s="17"/>
      <c r="CY44" s="17"/>
      <c r="CZ44" s="6"/>
      <c r="DA44" s="3"/>
      <c r="DB44" s="3"/>
      <c r="DC44" s="7"/>
      <c r="DD44" s="8"/>
      <c r="DE44" s="8"/>
      <c r="DF44" s="8"/>
      <c r="DH44" s="14"/>
      <c r="DI44" s="17"/>
      <c r="DJ44" s="3"/>
      <c r="DK44" s="4"/>
      <c r="DL44" s="3"/>
      <c r="DM44" s="17"/>
      <c r="DN44" s="17"/>
      <c r="DO44" s="6"/>
      <c r="DP44" s="3"/>
      <c r="DQ44" s="3"/>
      <c r="DR44" s="7"/>
      <c r="DS44" s="8"/>
      <c r="DT44" s="8"/>
      <c r="DU44" s="8"/>
      <c r="DW44" s="14"/>
      <c r="DX44" s="17"/>
      <c r="DY44" s="3"/>
      <c r="DZ44" s="4"/>
      <c r="EA44" s="3"/>
      <c r="EB44" s="17"/>
      <c r="EC44" s="17"/>
      <c r="ED44" s="6"/>
      <c r="EE44" s="3"/>
      <c r="EF44" s="3"/>
      <c r="EG44" s="7"/>
      <c r="EH44" s="8"/>
      <c r="EI44" s="8"/>
      <c r="EJ44" s="8"/>
      <c r="EL44" s="14"/>
      <c r="EM44" s="17"/>
      <c r="EN44" s="3"/>
      <c r="EO44" s="4"/>
      <c r="EP44" s="3"/>
      <c r="EQ44" s="17"/>
      <c r="ER44" s="17"/>
      <c r="ES44" s="6"/>
      <c r="ET44" s="3"/>
      <c r="EU44" s="3"/>
      <c r="EV44" s="7"/>
      <c r="EW44" s="8"/>
      <c r="EX44" s="8"/>
      <c r="EY44" s="8"/>
      <c r="FA44" s="14"/>
      <c r="FB44" s="17"/>
      <c r="FC44" s="3"/>
      <c r="FD44" s="4"/>
      <c r="FE44" s="3"/>
      <c r="FF44" s="17"/>
      <c r="FG44" s="17"/>
      <c r="FH44" s="6"/>
      <c r="FI44" s="3"/>
      <c r="FJ44" s="3"/>
      <c r="FK44" s="7"/>
      <c r="FL44" s="8"/>
      <c r="FM44" s="8"/>
      <c r="FN44" s="8"/>
      <c r="FP44" s="14"/>
      <c r="FQ44" s="17"/>
      <c r="FR44" s="3"/>
      <c r="FS44" s="4"/>
      <c r="FT44" s="3"/>
      <c r="FU44" s="17"/>
      <c r="FV44" s="17"/>
      <c r="FW44" s="6"/>
      <c r="FX44" s="3"/>
      <c r="FY44" s="3"/>
      <c r="FZ44" s="7"/>
      <c r="GA44" s="8"/>
      <c r="GB44" s="8"/>
      <c r="GC44" s="8"/>
      <c r="GE44" s="14">
        <f t="shared" si="7"/>
        <v>14</v>
      </c>
      <c r="GF44" s="14">
        <f t="shared" si="8"/>
        <v>11.2</v>
      </c>
      <c r="GG44" s="14">
        <f t="shared" si="9"/>
        <v>2.0332489225542387</v>
      </c>
      <c r="GH44" s="4">
        <f t="shared" si="10"/>
        <v>0.18154008237091418</v>
      </c>
      <c r="GI44" s="3">
        <f t="shared" si="11"/>
        <v>96462.897653979584</v>
      </c>
      <c r="GJ44" s="3">
        <f t="shared" si="12"/>
        <v>4.915</v>
      </c>
      <c r="GK44" s="17">
        <f t="shared" si="13"/>
        <v>140000</v>
      </c>
      <c r="GL44" s="4">
        <f t="shared" si="14"/>
        <v>1</v>
      </c>
      <c r="GM44" s="3">
        <f t="shared" si="15"/>
        <v>1.0416666666666667</v>
      </c>
      <c r="GN44" s="14">
        <f t="shared" si="16"/>
        <v>11.2</v>
      </c>
      <c r="GO44" s="3">
        <f t="shared" si="17"/>
        <v>1.0895719609489818</v>
      </c>
      <c r="GP44" s="35">
        <f t="shared" si="18"/>
        <v>8</v>
      </c>
      <c r="GQ44" s="35">
        <f t="shared" si="19"/>
        <v>0</v>
      </c>
      <c r="GR44" s="35">
        <f t="shared" si="20"/>
        <v>8</v>
      </c>
    </row>
    <row r="45" spans="1:200" x14ac:dyDescent="0.35">
      <c r="A45" s="3" t="s">
        <v>55</v>
      </c>
      <c r="B45" s="2" t="s">
        <v>146</v>
      </c>
      <c r="C45" s="2" t="s">
        <v>152</v>
      </c>
      <c r="D45" s="2" t="s">
        <v>107</v>
      </c>
      <c r="E45" s="3" t="s">
        <v>70</v>
      </c>
      <c r="F45" s="18"/>
      <c r="G45" s="14">
        <v>11.1936</v>
      </c>
      <c r="H45" s="17">
        <v>7.97</v>
      </c>
      <c r="I45" s="6">
        <v>1.9023512153374691</v>
      </c>
      <c r="J45" s="4">
        <f t="shared" si="0"/>
        <v>0.23868898561323326</v>
      </c>
      <c r="K45" s="3">
        <v>121352.97569325061</v>
      </c>
      <c r="L45" s="17">
        <v>5</v>
      </c>
      <c r="M45" s="17">
        <f t="shared" si="1"/>
        <v>223871.99999999997</v>
      </c>
      <c r="N45" s="4">
        <f t="shared" si="2"/>
        <v>1</v>
      </c>
      <c r="O45" s="3">
        <v>1.25</v>
      </c>
      <c r="P45" s="6">
        <f>797000/100000</f>
        <v>7.97</v>
      </c>
      <c r="Q45" s="7">
        <v>1.5940000000000001</v>
      </c>
      <c r="R45" s="30">
        <v>5</v>
      </c>
      <c r="S45" s="30">
        <v>0</v>
      </c>
      <c r="T45" s="30">
        <f t="shared" si="3"/>
        <v>5</v>
      </c>
      <c r="V45" s="14">
        <v>11.1936</v>
      </c>
      <c r="W45" s="17">
        <v>5.75</v>
      </c>
      <c r="X45" s="6">
        <v>8.8005638339767753E-2</v>
      </c>
      <c r="Y45" s="4">
        <f t="shared" si="4"/>
        <v>1.5305328406916131E-2</v>
      </c>
      <c r="Z45" s="3">
        <v>128222.29643603964</v>
      </c>
      <c r="AA45" s="17">
        <v>4</v>
      </c>
      <c r="AB45" s="17">
        <v>63888.888888888883</v>
      </c>
      <c r="AC45" s="4">
        <f t="shared" si="5"/>
        <v>0.77777777777777779</v>
      </c>
      <c r="AD45" s="6">
        <v>2.3333333333333335</v>
      </c>
      <c r="AE45" s="3">
        <f>575000/100000</f>
        <v>5.75</v>
      </c>
      <c r="AF45" s="7">
        <v>1.4375</v>
      </c>
      <c r="AG45" s="30">
        <v>7</v>
      </c>
      <c r="AH45" s="30">
        <v>2</v>
      </c>
      <c r="AI45" s="30">
        <f t="shared" si="6"/>
        <v>9</v>
      </c>
      <c r="AK45" s="14"/>
      <c r="AL45" s="17"/>
      <c r="AM45" s="3"/>
      <c r="AN45" s="4"/>
      <c r="AO45" s="3"/>
      <c r="AP45" s="17"/>
      <c r="AQ45" s="17"/>
      <c r="AR45" s="6"/>
      <c r="AS45" s="3"/>
      <c r="AT45" s="3"/>
      <c r="AU45" s="7"/>
      <c r="AV45" s="8"/>
      <c r="AW45" s="8"/>
      <c r="AX45" s="8"/>
      <c r="AZ45" s="14"/>
      <c r="BA45" s="17"/>
      <c r="BB45" s="3"/>
      <c r="BC45" s="4"/>
      <c r="BD45" s="3"/>
      <c r="BE45" s="17"/>
      <c r="BF45" s="17"/>
      <c r="BG45" s="6"/>
      <c r="BH45" s="3"/>
      <c r="BI45" s="3"/>
      <c r="BJ45" s="7"/>
      <c r="BK45" s="8"/>
      <c r="BL45" s="8"/>
      <c r="BM45" s="8"/>
      <c r="BO45" s="14"/>
      <c r="BP45" s="17"/>
      <c r="BQ45" s="3"/>
      <c r="BR45" s="4"/>
      <c r="BS45" s="3"/>
      <c r="BT45" s="17"/>
      <c r="BU45" s="17"/>
      <c r="BV45" s="6"/>
      <c r="BW45" s="3"/>
      <c r="BX45" s="3"/>
      <c r="BY45" s="7"/>
      <c r="BZ45" s="8"/>
      <c r="CA45" s="8"/>
      <c r="CB45" s="8"/>
      <c r="CD45" s="14"/>
      <c r="CE45" s="17"/>
      <c r="CF45" s="3"/>
      <c r="CG45" s="4"/>
      <c r="CH45" s="3"/>
      <c r="CI45" s="17"/>
      <c r="CJ45" s="17"/>
      <c r="CK45" s="6"/>
      <c r="CL45" s="3"/>
      <c r="CM45" s="3"/>
      <c r="CN45" s="7"/>
      <c r="CO45" s="8"/>
      <c r="CP45" s="8"/>
      <c r="CQ45" s="8"/>
      <c r="CS45" s="14"/>
      <c r="CT45" s="17"/>
      <c r="CU45" s="3"/>
      <c r="CV45" s="4"/>
      <c r="CW45" s="3"/>
      <c r="CX45" s="17"/>
      <c r="CY45" s="17"/>
      <c r="CZ45" s="6"/>
      <c r="DA45" s="3"/>
      <c r="DB45" s="3"/>
      <c r="DC45" s="7"/>
      <c r="DD45" s="8"/>
      <c r="DE45" s="8"/>
      <c r="DF45" s="8"/>
      <c r="DH45" s="14"/>
      <c r="DI45" s="17"/>
      <c r="DJ45" s="3"/>
      <c r="DK45" s="4"/>
      <c r="DL45" s="3"/>
      <c r="DM45" s="17"/>
      <c r="DN45" s="17"/>
      <c r="DO45" s="6"/>
      <c r="DP45" s="3"/>
      <c r="DQ45" s="3"/>
      <c r="DR45" s="7"/>
      <c r="DS45" s="8"/>
      <c r="DT45" s="8"/>
      <c r="DU45" s="8"/>
      <c r="DW45" s="14"/>
      <c r="DX45" s="17"/>
      <c r="DY45" s="3"/>
      <c r="DZ45" s="4"/>
      <c r="EA45" s="3"/>
      <c r="EB45" s="17"/>
      <c r="EC45" s="17"/>
      <c r="ED45" s="6"/>
      <c r="EE45" s="3"/>
      <c r="EF45" s="3"/>
      <c r="EG45" s="7"/>
      <c r="EH45" s="8"/>
      <c r="EI45" s="8"/>
      <c r="EJ45" s="8"/>
      <c r="EL45" s="14"/>
      <c r="EM45" s="17"/>
      <c r="EN45" s="3"/>
      <c r="EO45" s="4"/>
      <c r="EP45" s="3"/>
      <c r="EQ45" s="17"/>
      <c r="ER45" s="17"/>
      <c r="ES45" s="6"/>
      <c r="ET45" s="3"/>
      <c r="EU45" s="3"/>
      <c r="EV45" s="7"/>
      <c r="EW45" s="8"/>
      <c r="EX45" s="8"/>
      <c r="EY45" s="8"/>
      <c r="FA45" s="14"/>
      <c r="FB45" s="17"/>
      <c r="FC45" s="3"/>
      <c r="FD45" s="4"/>
      <c r="FE45" s="3"/>
      <c r="FF45" s="17"/>
      <c r="FG45" s="17"/>
      <c r="FH45" s="6"/>
      <c r="FI45" s="3"/>
      <c r="FJ45" s="3"/>
      <c r="FK45" s="7"/>
      <c r="FL45" s="8"/>
      <c r="FM45" s="8"/>
      <c r="FN45" s="8"/>
      <c r="FP45" s="14"/>
      <c r="FQ45" s="17"/>
      <c r="FR45" s="3"/>
      <c r="FS45" s="4"/>
      <c r="FT45" s="3"/>
      <c r="FU45" s="17"/>
      <c r="FV45" s="17"/>
      <c r="FW45" s="6"/>
      <c r="FX45" s="3"/>
      <c r="FY45" s="3"/>
      <c r="FZ45" s="7"/>
      <c r="GA45" s="8"/>
      <c r="GB45" s="8"/>
      <c r="GC45" s="8"/>
      <c r="GE45" s="14">
        <f t="shared" si="7"/>
        <v>22.3872</v>
      </c>
      <c r="GF45" s="14">
        <f t="shared" si="8"/>
        <v>13.719999999999999</v>
      </c>
      <c r="GG45" s="14">
        <f t="shared" si="9"/>
        <v>1.9903568536772369</v>
      </c>
      <c r="GH45" s="4">
        <f t="shared" si="10"/>
        <v>0.14506974152166452</v>
      </c>
      <c r="GI45" s="3">
        <f t="shared" si="11"/>
        <v>124787.63606464514</v>
      </c>
      <c r="GJ45" s="3">
        <f t="shared" si="12"/>
        <v>4.5</v>
      </c>
      <c r="GK45" s="17">
        <f t="shared" si="13"/>
        <v>97999.999999999985</v>
      </c>
      <c r="GL45" s="4">
        <f t="shared" si="14"/>
        <v>0.8571428571428571</v>
      </c>
      <c r="GM45" s="3">
        <f t="shared" si="15"/>
        <v>1.7916666666666667</v>
      </c>
      <c r="GN45" s="14">
        <f t="shared" si="16"/>
        <v>13.719999999999999</v>
      </c>
      <c r="GO45" s="3">
        <f t="shared" si="17"/>
        <v>1.5157500000000002</v>
      </c>
      <c r="GP45" s="35">
        <f t="shared" si="18"/>
        <v>12</v>
      </c>
      <c r="GQ45" s="35">
        <f t="shared" si="19"/>
        <v>2</v>
      </c>
      <c r="GR45" s="35">
        <f t="shared" si="20"/>
        <v>14</v>
      </c>
    </row>
    <row r="46" spans="1:200" x14ac:dyDescent="0.35">
      <c r="A46" s="3" t="s">
        <v>56</v>
      </c>
      <c r="B46" s="2" t="s">
        <v>142</v>
      </c>
      <c r="C46" s="2" t="s">
        <v>83</v>
      </c>
      <c r="D46" s="2" t="s">
        <v>107</v>
      </c>
      <c r="E46" s="3" t="s">
        <v>2</v>
      </c>
      <c r="F46" s="18"/>
      <c r="G46" s="14">
        <v>6.3666666666666663</v>
      </c>
      <c r="H46" s="17">
        <v>10.65</v>
      </c>
      <c r="I46" s="6">
        <v>5.1783790191718362</v>
      </c>
      <c r="J46" s="4">
        <f t="shared" si="0"/>
        <v>0.48623277175322405</v>
      </c>
      <c r="K46" s="3">
        <v>87545.93569325062</v>
      </c>
      <c r="L46" s="17">
        <v>6.25</v>
      </c>
      <c r="M46" s="17">
        <f t="shared" si="1"/>
        <v>31833.333333333328</v>
      </c>
      <c r="N46" s="4">
        <f t="shared" si="2"/>
        <v>0.6</v>
      </c>
      <c r="O46" s="3">
        <v>2.4</v>
      </c>
      <c r="P46" s="6"/>
      <c r="Q46" s="7">
        <v>1.704</v>
      </c>
      <c r="R46" s="30">
        <v>12</v>
      </c>
      <c r="S46" s="30">
        <v>8</v>
      </c>
      <c r="T46" s="30">
        <f t="shared" si="3"/>
        <v>20</v>
      </c>
      <c r="V46" s="14">
        <v>6.3666666666666663</v>
      </c>
      <c r="W46" s="17">
        <v>10.235100000000001</v>
      </c>
      <c r="X46" s="6">
        <v>4.5757437432606496</v>
      </c>
      <c r="Y46" s="4">
        <f t="shared" si="4"/>
        <v>0.44706390199027357</v>
      </c>
      <c r="Z46" s="3">
        <v>89766.183340801537</v>
      </c>
      <c r="AA46" s="17">
        <v>6.7200000000000006</v>
      </c>
      <c r="AB46" s="17">
        <v>48738.571428571428</v>
      </c>
      <c r="AC46" s="4">
        <f t="shared" si="5"/>
        <v>0.76190476190476186</v>
      </c>
      <c r="AD46" s="6">
        <v>3.2</v>
      </c>
      <c r="AE46" s="3"/>
      <c r="AF46" s="7">
        <v>1.5230803571428571</v>
      </c>
      <c r="AG46" s="30">
        <v>16</v>
      </c>
      <c r="AH46" s="30">
        <v>5</v>
      </c>
      <c r="AI46" s="30">
        <f t="shared" si="6"/>
        <v>21</v>
      </c>
      <c r="AK46" s="14"/>
      <c r="AL46" s="17"/>
      <c r="AM46" s="3"/>
      <c r="AN46" s="4"/>
      <c r="AO46" s="3"/>
      <c r="AP46" s="17"/>
      <c r="AQ46" s="17"/>
      <c r="AR46" s="6"/>
      <c r="AS46" s="3"/>
      <c r="AT46" s="3"/>
      <c r="AU46" s="7"/>
      <c r="AV46" s="8"/>
      <c r="AW46" s="8"/>
      <c r="AX46" s="8"/>
      <c r="AZ46" s="14"/>
      <c r="BA46" s="17"/>
      <c r="BB46" s="3"/>
      <c r="BC46" s="4"/>
      <c r="BD46" s="3"/>
      <c r="BE46" s="17"/>
      <c r="BF46" s="17"/>
      <c r="BG46" s="6"/>
      <c r="BH46" s="3"/>
      <c r="BI46" s="3"/>
      <c r="BJ46" s="7"/>
      <c r="BK46" s="8"/>
      <c r="BL46" s="8"/>
      <c r="BM46" s="8"/>
      <c r="BO46" s="14"/>
      <c r="BP46" s="17"/>
      <c r="BQ46" s="3"/>
      <c r="BR46" s="4"/>
      <c r="BS46" s="3"/>
      <c r="BT46" s="17"/>
      <c r="BU46" s="17"/>
      <c r="BV46" s="6"/>
      <c r="BW46" s="3"/>
      <c r="BX46" s="3"/>
      <c r="BY46" s="7"/>
      <c r="BZ46" s="8"/>
      <c r="CA46" s="8"/>
      <c r="CB46" s="8"/>
      <c r="CD46" s="14"/>
      <c r="CE46" s="17"/>
      <c r="CF46" s="3"/>
      <c r="CG46" s="4"/>
      <c r="CH46" s="3"/>
      <c r="CI46" s="17"/>
      <c r="CJ46" s="17"/>
      <c r="CK46" s="6"/>
      <c r="CL46" s="3"/>
      <c r="CM46" s="3"/>
      <c r="CN46" s="7"/>
      <c r="CO46" s="8"/>
      <c r="CP46" s="8"/>
      <c r="CQ46" s="8"/>
      <c r="CS46" s="14"/>
      <c r="CT46" s="17"/>
      <c r="CU46" s="3"/>
      <c r="CV46" s="4"/>
      <c r="CW46" s="3"/>
      <c r="CX46" s="17"/>
      <c r="CY46" s="17"/>
      <c r="CZ46" s="6"/>
      <c r="DA46" s="3"/>
      <c r="DB46" s="3"/>
      <c r="DC46" s="7"/>
      <c r="DD46" s="8"/>
      <c r="DE46" s="8"/>
      <c r="DF46" s="8"/>
      <c r="DH46" s="14"/>
      <c r="DI46" s="17"/>
      <c r="DJ46" s="3"/>
      <c r="DK46" s="4"/>
      <c r="DL46" s="3"/>
      <c r="DM46" s="17"/>
      <c r="DN46" s="17"/>
      <c r="DO46" s="6"/>
      <c r="DP46" s="3"/>
      <c r="DQ46" s="3"/>
      <c r="DR46" s="7"/>
      <c r="DS46" s="8"/>
      <c r="DT46" s="8"/>
      <c r="DU46" s="8"/>
      <c r="DW46" s="14"/>
      <c r="DX46" s="17"/>
      <c r="DY46" s="3"/>
      <c r="DZ46" s="4"/>
      <c r="EA46" s="3"/>
      <c r="EB46" s="17"/>
      <c r="EC46" s="17"/>
      <c r="ED46" s="6"/>
      <c r="EE46" s="3"/>
      <c r="EF46" s="3"/>
      <c r="EG46" s="7"/>
      <c r="EH46" s="8"/>
      <c r="EI46" s="8"/>
      <c r="EJ46" s="8"/>
      <c r="EL46" s="14"/>
      <c r="EM46" s="17"/>
      <c r="EN46" s="3"/>
      <c r="EO46" s="4"/>
      <c r="EP46" s="3"/>
      <c r="EQ46" s="17"/>
      <c r="ER46" s="17"/>
      <c r="ES46" s="6"/>
      <c r="ET46" s="3"/>
      <c r="EU46" s="3"/>
      <c r="EV46" s="7"/>
      <c r="EW46" s="8"/>
      <c r="EX46" s="8"/>
      <c r="EY46" s="8"/>
      <c r="FA46" s="14"/>
      <c r="FB46" s="17"/>
      <c r="FC46" s="3"/>
      <c r="FD46" s="4"/>
      <c r="FE46" s="3"/>
      <c r="FF46" s="17"/>
      <c r="FG46" s="17"/>
      <c r="FH46" s="6"/>
      <c r="FI46" s="3"/>
      <c r="FJ46" s="3"/>
      <c r="FK46" s="7"/>
      <c r="FL46" s="8"/>
      <c r="FM46" s="8"/>
      <c r="FN46" s="8"/>
      <c r="FP46" s="14"/>
      <c r="FQ46" s="17"/>
      <c r="FR46" s="3"/>
      <c r="FS46" s="4"/>
      <c r="FT46" s="3"/>
      <c r="FU46" s="17"/>
      <c r="FV46" s="17"/>
      <c r="FW46" s="6"/>
      <c r="FX46" s="3"/>
      <c r="FY46" s="3"/>
      <c r="FZ46" s="7"/>
      <c r="GA46" s="8"/>
      <c r="GB46" s="8"/>
      <c r="GC46" s="8"/>
      <c r="GE46" s="14">
        <f t="shared" si="7"/>
        <v>12.733333333333333</v>
      </c>
      <c r="GF46" s="14">
        <f t="shared" si="8"/>
        <v>20.885100000000001</v>
      </c>
      <c r="GG46" s="14">
        <f t="shared" si="9"/>
        <v>9.7541227624324858</v>
      </c>
      <c r="GH46" s="4">
        <f t="shared" si="10"/>
        <v>0.46703739807003486</v>
      </c>
      <c r="GI46" s="3">
        <f t="shared" si="11"/>
        <v>88656.059517026079</v>
      </c>
      <c r="GJ46" s="3">
        <f t="shared" si="12"/>
        <v>6.4850000000000003</v>
      </c>
      <c r="GK46" s="17">
        <f t="shared" si="13"/>
        <v>50939.268292682929</v>
      </c>
      <c r="GL46" s="4">
        <f t="shared" si="14"/>
        <v>0.68292682926829273</v>
      </c>
      <c r="GM46" s="3">
        <f t="shared" si="15"/>
        <v>2.8</v>
      </c>
      <c r="GN46" s="14">
        <f t="shared" si="16"/>
        <v>0</v>
      </c>
      <c r="GO46" s="3">
        <f t="shared" si="17"/>
        <v>1.6135401785714285</v>
      </c>
      <c r="GP46" s="35">
        <f t="shared" si="18"/>
        <v>28</v>
      </c>
      <c r="GQ46" s="35">
        <f t="shared" si="19"/>
        <v>13</v>
      </c>
      <c r="GR46" s="35">
        <f t="shared" si="20"/>
        <v>41</v>
      </c>
    </row>
    <row r="47" spans="1:200" x14ac:dyDescent="0.35">
      <c r="A47" s="3" t="s">
        <v>57</v>
      </c>
      <c r="B47" s="2" t="s">
        <v>142</v>
      </c>
      <c r="C47" s="2" t="s">
        <v>83</v>
      </c>
      <c r="D47" s="2" t="s">
        <v>107</v>
      </c>
      <c r="E47" s="3" t="s">
        <v>2</v>
      </c>
      <c r="F47" s="18"/>
      <c r="G47" s="14">
        <v>4</v>
      </c>
      <c r="H47" s="17">
        <v>6.5951000000000004</v>
      </c>
      <c r="I47" s="6">
        <v>4.5628500469018611</v>
      </c>
      <c r="J47" s="4">
        <f t="shared" si="0"/>
        <v>0.69185456579913285</v>
      </c>
      <c r="K47" s="3">
        <v>90322.220137695054</v>
      </c>
      <c r="L47" s="17">
        <v>2.25</v>
      </c>
      <c r="M47" s="17">
        <f t="shared" si="1"/>
        <v>50000</v>
      </c>
      <c r="N47" s="4">
        <f t="shared" si="2"/>
        <v>1</v>
      </c>
      <c r="O47" s="3">
        <v>4</v>
      </c>
      <c r="P47" s="6"/>
      <c r="Q47" s="7">
        <v>2.9311555555555557</v>
      </c>
      <c r="R47" s="30">
        <v>8</v>
      </c>
      <c r="S47" s="30">
        <v>0</v>
      </c>
      <c r="T47" s="30">
        <f t="shared" si="3"/>
        <v>8</v>
      </c>
      <c r="V47" s="14">
        <v>4</v>
      </c>
      <c r="W47" s="17">
        <v>4.0999999999999996</v>
      </c>
      <c r="X47" s="6">
        <v>0.82141791392350161</v>
      </c>
      <c r="Y47" s="4">
        <f t="shared" si="4"/>
        <v>0.2003458326642687</v>
      </c>
      <c r="Z47" s="3">
        <v>77928.750981494202</v>
      </c>
      <c r="AA47" s="17">
        <v>4.3999999999999995</v>
      </c>
      <c r="AB47" s="17">
        <v>58571.428571428565</v>
      </c>
      <c r="AC47" s="4">
        <f t="shared" si="5"/>
        <v>1</v>
      </c>
      <c r="AD47" s="6">
        <v>1.75</v>
      </c>
      <c r="AE47" s="3"/>
      <c r="AF47" s="7">
        <v>0.93181818181818188</v>
      </c>
      <c r="AG47" s="30">
        <v>7</v>
      </c>
      <c r="AH47" s="30">
        <v>0</v>
      </c>
      <c r="AI47" s="30">
        <f t="shared" si="6"/>
        <v>7</v>
      </c>
      <c r="AK47" s="14"/>
      <c r="AL47" s="17"/>
      <c r="AM47" s="3"/>
      <c r="AN47" s="4"/>
      <c r="AO47" s="3"/>
      <c r="AP47" s="17"/>
      <c r="AQ47" s="17"/>
      <c r="AR47" s="6"/>
      <c r="AS47" s="3"/>
      <c r="AT47" s="3"/>
      <c r="AU47" s="7"/>
      <c r="AV47" s="8"/>
      <c r="AW47" s="8"/>
      <c r="AX47" s="8"/>
      <c r="AZ47" s="14"/>
      <c r="BA47" s="17"/>
      <c r="BB47" s="3"/>
      <c r="BC47" s="4"/>
      <c r="BD47" s="3"/>
      <c r="BE47" s="17"/>
      <c r="BF47" s="17"/>
      <c r="BG47" s="6"/>
      <c r="BH47" s="3"/>
      <c r="BI47" s="3"/>
      <c r="BJ47" s="7"/>
      <c r="BK47" s="8"/>
      <c r="BL47" s="8"/>
      <c r="BM47" s="8"/>
      <c r="BO47" s="14"/>
      <c r="BP47" s="17"/>
      <c r="BQ47" s="3"/>
      <c r="BR47" s="4"/>
      <c r="BS47" s="3"/>
      <c r="BT47" s="17"/>
      <c r="BU47" s="17"/>
      <c r="BV47" s="6"/>
      <c r="BW47" s="3"/>
      <c r="BX47" s="3"/>
      <c r="BY47" s="7"/>
      <c r="BZ47" s="8"/>
      <c r="CA47" s="8"/>
      <c r="CB47" s="8"/>
      <c r="CD47" s="14"/>
      <c r="CE47" s="17"/>
      <c r="CF47" s="3"/>
      <c r="CG47" s="4"/>
      <c r="CH47" s="3"/>
      <c r="CI47" s="17"/>
      <c r="CJ47" s="17"/>
      <c r="CK47" s="6"/>
      <c r="CL47" s="3"/>
      <c r="CM47" s="3"/>
      <c r="CN47" s="7"/>
      <c r="CO47" s="8"/>
      <c r="CP47" s="8"/>
      <c r="CQ47" s="8"/>
      <c r="CS47" s="14"/>
      <c r="CT47" s="17"/>
      <c r="CU47" s="3"/>
      <c r="CV47" s="4"/>
      <c r="CW47" s="3"/>
      <c r="CX47" s="17"/>
      <c r="CY47" s="17"/>
      <c r="CZ47" s="6"/>
      <c r="DA47" s="3"/>
      <c r="DB47" s="3"/>
      <c r="DC47" s="7"/>
      <c r="DD47" s="8"/>
      <c r="DE47" s="8"/>
      <c r="DF47" s="8"/>
      <c r="DH47" s="14"/>
      <c r="DI47" s="17"/>
      <c r="DJ47" s="3"/>
      <c r="DK47" s="4"/>
      <c r="DL47" s="3"/>
      <c r="DM47" s="17"/>
      <c r="DN47" s="17"/>
      <c r="DO47" s="6"/>
      <c r="DP47" s="3"/>
      <c r="DQ47" s="3"/>
      <c r="DR47" s="7"/>
      <c r="DS47" s="8"/>
      <c r="DT47" s="8"/>
      <c r="DU47" s="8"/>
      <c r="DW47" s="14"/>
      <c r="DX47" s="17"/>
      <c r="DY47" s="3"/>
      <c r="DZ47" s="4"/>
      <c r="EA47" s="3"/>
      <c r="EB47" s="17"/>
      <c r="EC47" s="17"/>
      <c r="ED47" s="6"/>
      <c r="EE47" s="3"/>
      <c r="EF47" s="3"/>
      <c r="EG47" s="7"/>
      <c r="EH47" s="8"/>
      <c r="EI47" s="8"/>
      <c r="EJ47" s="8"/>
      <c r="EL47" s="14"/>
      <c r="EM47" s="17"/>
      <c r="EN47" s="3"/>
      <c r="EO47" s="4"/>
      <c r="EP47" s="3"/>
      <c r="EQ47" s="17"/>
      <c r="ER47" s="17"/>
      <c r="ES47" s="6"/>
      <c r="ET47" s="3"/>
      <c r="EU47" s="3"/>
      <c r="EV47" s="7"/>
      <c r="EW47" s="8"/>
      <c r="EX47" s="8"/>
      <c r="EY47" s="8"/>
      <c r="FA47" s="14"/>
      <c r="FB47" s="17"/>
      <c r="FC47" s="3"/>
      <c r="FD47" s="4"/>
      <c r="FE47" s="3"/>
      <c r="FF47" s="17"/>
      <c r="FG47" s="17"/>
      <c r="FH47" s="6"/>
      <c r="FI47" s="3"/>
      <c r="FJ47" s="3"/>
      <c r="FK47" s="7"/>
      <c r="FL47" s="8"/>
      <c r="FM47" s="8"/>
      <c r="FN47" s="8"/>
      <c r="FP47" s="14"/>
      <c r="FQ47" s="17"/>
      <c r="FR47" s="3"/>
      <c r="FS47" s="4"/>
      <c r="FT47" s="3"/>
      <c r="FU47" s="17"/>
      <c r="FV47" s="17"/>
      <c r="FW47" s="6"/>
      <c r="FX47" s="3"/>
      <c r="FY47" s="3"/>
      <c r="FZ47" s="7"/>
      <c r="GA47" s="8"/>
      <c r="GB47" s="8"/>
      <c r="GC47" s="8"/>
      <c r="GE47" s="14">
        <f t="shared" si="7"/>
        <v>8</v>
      </c>
      <c r="GF47" s="14">
        <f t="shared" si="8"/>
        <v>10.6951</v>
      </c>
      <c r="GG47" s="14">
        <f t="shared" si="9"/>
        <v>5.3842679608253627</v>
      </c>
      <c r="GH47" s="4">
        <f t="shared" si="10"/>
        <v>0.50343315731740357</v>
      </c>
      <c r="GI47" s="3">
        <f t="shared" si="11"/>
        <v>84125.485559594628</v>
      </c>
      <c r="GJ47" s="3">
        <f t="shared" si="12"/>
        <v>3.3249999999999997</v>
      </c>
      <c r="GK47" s="17">
        <f t="shared" si="13"/>
        <v>71300.666666666672</v>
      </c>
      <c r="GL47" s="4">
        <f t="shared" si="14"/>
        <v>1</v>
      </c>
      <c r="GM47" s="3">
        <f t="shared" si="15"/>
        <v>2.875</v>
      </c>
      <c r="GN47" s="14">
        <f t="shared" si="16"/>
        <v>0</v>
      </c>
      <c r="GO47" s="3">
        <f t="shared" si="17"/>
        <v>1.9314868686868687</v>
      </c>
      <c r="GP47" s="35">
        <f t="shared" si="18"/>
        <v>15</v>
      </c>
      <c r="GQ47" s="35">
        <f t="shared" si="19"/>
        <v>0</v>
      </c>
      <c r="GR47" s="35">
        <f t="shared" si="20"/>
        <v>15</v>
      </c>
    </row>
    <row r="48" spans="1:200" x14ac:dyDescent="0.35">
      <c r="A48" s="3" t="s">
        <v>58</v>
      </c>
      <c r="B48" s="2" t="s">
        <v>143</v>
      </c>
      <c r="C48" s="2" t="s">
        <v>143</v>
      </c>
      <c r="D48" s="2" t="s">
        <v>107</v>
      </c>
      <c r="E48" s="3" t="s">
        <v>72</v>
      </c>
      <c r="F48" s="18"/>
      <c r="G48" s="14">
        <v>45.833333333333336</v>
      </c>
      <c r="H48" s="17">
        <v>65.400000000000006</v>
      </c>
      <c r="I48" s="6">
        <v>39.776148114208837</v>
      </c>
      <c r="J48" s="4">
        <f t="shared" si="0"/>
        <v>0.6081979833976886</v>
      </c>
      <c r="K48" s="3">
        <v>95611.387633549122</v>
      </c>
      <c r="L48" s="17">
        <v>26.8</v>
      </c>
      <c r="M48" s="17">
        <f t="shared" si="1"/>
        <v>40204.678362573104</v>
      </c>
      <c r="N48" s="4">
        <f t="shared" si="2"/>
        <v>0.8771929824561403</v>
      </c>
      <c r="O48" s="3">
        <v>4.7619047619047619</v>
      </c>
      <c r="P48" s="6">
        <f>400230/100000</f>
        <v>4.0023</v>
      </c>
      <c r="Q48" s="7">
        <v>2.4402985074626864</v>
      </c>
      <c r="R48" s="30">
        <v>100</v>
      </c>
      <c r="S48" s="30">
        <v>14</v>
      </c>
      <c r="T48" s="30">
        <f t="shared" si="3"/>
        <v>114</v>
      </c>
      <c r="V48" s="14">
        <v>45.833333333333336</v>
      </c>
      <c r="W48" s="17">
        <v>70</v>
      </c>
      <c r="X48" s="6">
        <v>44.517994736675256</v>
      </c>
      <c r="Y48" s="4">
        <f t="shared" si="4"/>
        <v>0.63597135338107513</v>
      </c>
      <c r="Z48" s="3">
        <v>93136.280307007401</v>
      </c>
      <c r="AA48" s="17">
        <v>26.35</v>
      </c>
      <c r="AB48" s="17">
        <v>58333.333333333336</v>
      </c>
      <c r="AC48" s="4">
        <f t="shared" si="5"/>
        <v>0.91666666666666663</v>
      </c>
      <c r="AD48" s="6">
        <v>5.3527980535279802</v>
      </c>
      <c r="AE48" s="3">
        <f>5460000/100000</f>
        <v>54.6</v>
      </c>
      <c r="AF48" s="7">
        <v>2.6565464895635675</v>
      </c>
      <c r="AG48" s="30">
        <v>110</v>
      </c>
      <c r="AH48" s="30">
        <v>10</v>
      </c>
      <c r="AI48" s="30">
        <f t="shared" si="6"/>
        <v>120</v>
      </c>
      <c r="AK48" s="14"/>
      <c r="AL48" s="17"/>
      <c r="AM48" s="3"/>
      <c r="AN48" s="4"/>
      <c r="AO48" s="3"/>
      <c r="AP48" s="17"/>
      <c r="AQ48" s="17"/>
      <c r="AR48" s="6"/>
      <c r="AS48" s="3"/>
      <c r="AT48" s="3"/>
      <c r="AU48" s="7"/>
      <c r="AV48" s="8"/>
      <c r="AW48" s="8"/>
      <c r="AX48" s="8"/>
      <c r="AZ48" s="14"/>
      <c r="BA48" s="17"/>
      <c r="BB48" s="3"/>
      <c r="BC48" s="4"/>
      <c r="BD48" s="3"/>
      <c r="BE48" s="17"/>
      <c r="BF48" s="17"/>
      <c r="BG48" s="6"/>
      <c r="BH48" s="3"/>
      <c r="BI48" s="3"/>
      <c r="BJ48" s="7"/>
      <c r="BK48" s="8"/>
      <c r="BL48" s="8"/>
      <c r="BM48" s="8"/>
      <c r="BO48" s="14"/>
      <c r="BP48" s="17"/>
      <c r="BQ48" s="3"/>
      <c r="BR48" s="4"/>
      <c r="BS48" s="3"/>
      <c r="BT48" s="17"/>
      <c r="BU48" s="17"/>
      <c r="BV48" s="6"/>
      <c r="BW48" s="3"/>
      <c r="BX48" s="3"/>
      <c r="BY48" s="7"/>
      <c r="BZ48" s="8"/>
      <c r="CA48" s="8"/>
      <c r="CB48" s="8"/>
      <c r="CD48" s="14"/>
      <c r="CE48" s="17"/>
      <c r="CF48" s="3"/>
      <c r="CG48" s="4"/>
      <c r="CH48" s="3"/>
      <c r="CI48" s="17"/>
      <c r="CJ48" s="17"/>
      <c r="CK48" s="6"/>
      <c r="CL48" s="3"/>
      <c r="CM48" s="3"/>
      <c r="CN48" s="7"/>
      <c r="CO48" s="8"/>
      <c r="CP48" s="8"/>
      <c r="CQ48" s="8"/>
      <c r="CS48" s="14"/>
      <c r="CT48" s="17"/>
      <c r="CU48" s="3"/>
      <c r="CV48" s="4"/>
      <c r="CW48" s="3"/>
      <c r="CX48" s="17"/>
      <c r="CY48" s="17"/>
      <c r="CZ48" s="6"/>
      <c r="DA48" s="3"/>
      <c r="DB48" s="3"/>
      <c r="DC48" s="7"/>
      <c r="DD48" s="8"/>
      <c r="DE48" s="8"/>
      <c r="DF48" s="8"/>
      <c r="DH48" s="14"/>
      <c r="DI48" s="17"/>
      <c r="DJ48" s="3"/>
      <c r="DK48" s="4"/>
      <c r="DL48" s="3"/>
      <c r="DM48" s="17"/>
      <c r="DN48" s="17"/>
      <c r="DO48" s="6"/>
      <c r="DP48" s="3"/>
      <c r="DQ48" s="3"/>
      <c r="DR48" s="7"/>
      <c r="DS48" s="8"/>
      <c r="DT48" s="8"/>
      <c r="DU48" s="8"/>
      <c r="DW48" s="14"/>
      <c r="DX48" s="17"/>
      <c r="DY48" s="3"/>
      <c r="DZ48" s="4"/>
      <c r="EA48" s="3"/>
      <c r="EB48" s="17"/>
      <c r="EC48" s="17"/>
      <c r="ED48" s="6"/>
      <c r="EE48" s="3"/>
      <c r="EF48" s="3"/>
      <c r="EG48" s="7"/>
      <c r="EH48" s="8"/>
      <c r="EI48" s="8"/>
      <c r="EJ48" s="8"/>
      <c r="EL48" s="14"/>
      <c r="EM48" s="17"/>
      <c r="EN48" s="3"/>
      <c r="EO48" s="4"/>
      <c r="EP48" s="3"/>
      <c r="EQ48" s="17"/>
      <c r="ER48" s="17"/>
      <c r="ES48" s="6"/>
      <c r="ET48" s="3"/>
      <c r="EU48" s="3"/>
      <c r="EV48" s="7"/>
      <c r="EW48" s="8"/>
      <c r="EX48" s="8"/>
      <c r="EY48" s="8"/>
      <c r="FA48" s="14"/>
      <c r="FB48" s="17"/>
      <c r="FC48" s="3"/>
      <c r="FD48" s="4"/>
      <c r="FE48" s="3"/>
      <c r="FF48" s="17"/>
      <c r="FG48" s="17"/>
      <c r="FH48" s="6"/>
      <c r="FI48" s="3"/>
      <c r="FJ48" s="3"/>
      <c r="FK48" s="7"/>
      <c r="FL48" s="8"/>
      <c r="FM48" s="8"/>
      <c r="FN48" s="8"/>
      <c r="FP48" s="14"/>
      <c r="FQ48" s="17"/>
      <c r="FR48" s="3"/>
      <c r="FS48" s="4"/>
      <c r="FT48" s="3"/>
      <c r="FU48" s="17"/>
      <c r="FV48" s="17"/>
      <c r="FW48" s="6"/>
      <c r="FX48" s="3"/>
      <c r="FY48" s="3"/>
      <c r="FZ48" s="7"/>
      <c r="GA48" s="8"/>
      <c r="GB48" s="8"/>
      <c r="GC48" s="8"/>
      <c r="GE48" s="14">
        <f t="shared" si="7"/>
        <v>91.666666666666671</v>
      </c>
      <c r="GF48" s="14">
        <f t="shared" si="8"/>
        <v>135.4</v>
      </c>
      <c r="GG48" s="14">
        <f t="shared" si="9"/>
        <v>84.2941428508841</v>
      </c>
      <c r="GH48" s="4">
        <f t="shared" si="10"/>
        <v>0.62255644646147779</v>
      </c>
      <c r="GI48" s="3">
        <f t="shared" si="11"/>
        <v>94373.833970278269</v>
      </c>
      <c r="GJ48" s="3">
        <f t="shared" si="12"/>
        <v>26.575000000000003</v>
      </c>
      <c r="GK48" s="17">
        <f t="shared" si="13"/>
        <v>57863.247863247867</v>
      </c>
      <c r="GL48" s="4">
        <f t="shared" si="14"/>
        <v>0.89743589743589747</v>
      </c>
      <c r="GM48" s="3">
        <f t="shared" si="15"/>
        <v>5.0573514077163715</v>
      </c>
      <c r="GN48" s="14">
        <f t="shared" si="16"/>
        <v>58.6023</v>
      </c>
      <c r="GO48" s="3">
        <f t="shared" si="17"/>
        <v>2.5484224985131272</v>
      </c>
      <c r="GP48" s="35">
        <f t="shared" si="18"/>
        <v>210</v>
      </c>
      <c r="GQ48" s="35">
        <f t="shared" si="19"/>
        <v>24</v>
      </c>
      <c r="GR48" s="35">
        <f t="shared" si="20"/>
        <v>234</v>
      </c>
    </row>
    <row r="49" spans="1:200" x14ac:dyDescent="0.35">
      <c r="A49" s="3" t="s">
        <v>59</v>
      </c>
      <c r="B49" s="2" t="s">
        <v>142</v>
      </c>
      <c r="C49" s="2" t="s">
        <v>83</v>
      </c>
      <c r="D49" s="2" t="s">
        <v>108</v>
      </c>
      <c r="E49" s="3" t="s">
        <v>2</v>
      </c>
      <c r="F49" s="18"/>
      <c r="G49" s="14">
        <v>17.509999999999998</v>
      </c>
      <c r="H49" s="17">
        <v>17</v>
      </c>
      <c r="I49" s="6">
        <v>-6.0292014040660744</v>
      </c>
      <c r="J49" s="4">
        <f t="shared" si="0"/>
        <v>-0.35465890612153378</v>
      </c>
      <c r="K49" s="3">
        <v>114801.6022136893</v>
      </c>
      <c r="L49" s="17">
        <v>20.059999999999999</v>
      </c>
      <c r="M49" s="17">
        <f t="shared" si="1"/>
        <v>70039.999999999985</v>
      </c>
      <c r="N49" s="4">
        <f t="shared" si="2"/>
        <v>0.84</v>
      </c>
      <c r="O49" s="3">
        <v>1.3125</v>
      </c>
      <c r="P49" s="6">
        <f>1700000/100000</f>
        <v>17</v>
      </c>
      <c r="Q49" s="7">
        <v>0.84745762711864414</v>
      </c>
      <c r="R49" s="30">
        <v>21</v>
      </c>
      <c r="S49" s="30">
        <v>4</v>
      </c>
      <c r="T49" s="30">
        <f t="shared" si="3"/>
        <v>25</v>
      </c>
      <c r="V49" s="14">
        <v>30.29</v>
      </c>
      <c r="W49" s="17">
        <v>25.691798554999995</v>
      </c>
      <c r="X49" s="6">
        <v>5.1256786753949974</v>
      </c>
      <c r="Y49" s="4">
        <f t="shared" si="4"/>
        <v>0.19950641697669183</v>
      </c>
      <c r="Z49" s="3">
        <v>95879.276761684188</v>
      </c>
      <c r="AA49" s="17">
        <v>22.11</v>
      </c>
      <c r="AB49" s="17">
        <v>55851.735989130422</v>
      </c>
      <c r="AC49" s="4">
        <f t="shared" si="5"/>
        <v>0.84782608695652173</v>
      </c>
      <c r="AD49" s="6">
        <v>2.0483193277310927</v>
      </c>
      <c r="AE49" s="3">
        <f>2569179.8555/100000</f>
        <v>25.691798555000002</v>
      </c>
      <c r="AF49" s="7">
        <v>0.95879276761684185</v>
      </c>
      <c r="AG49" s="30">
        <v>39</v>
      </c>
      <c r="AH49" s="30">
        <v>7</v>
      </c>
      <c r="AI49" s="30">
        <f t="shared" si="6"/>
        <v>46</v>
      </c>
      <c r="AK49" s="14"/>
      <c r="AL49" s="17"/>
      <c r="AM49" s="3"/>
      <c r="AN49" s="4"/>
      <c r="AO49" s="3"/>
      <c r="AP49" s="17"/>
      <c r="AQ49" s="17"/>
      <c r="AR49" s="6"/>
      <c r="AS49" s="3"/>
      <c r="AT49" s="3"/>
      <c r="AU49" s="7"/>
      <c r="AV49" s="8"/>
      <c r="AW49" s="8"/>
      <c r="AX49" s="8"/>
      <c r="AZ49" s="14"/>
      <c r="BA49" s="17"/>
      <c r="BB49" s="3"/>
      <c r="BC49" s="4"/>
      <c r="BD49" s="3"/>
      <c r="BE49" s="17"/>
      <c r="BF49" s="17"/>
      <c r="BG49" s="6"/>
      <c r="BH49" s="3"/>
      <c r="BI49" s="3"/>
      <c r="BJ49" s="7"/>
      <c r="BK49" s="8"/>
      <c r="BL49" s="8"/>
      <c r="BM49" s="8"/>
      <c r="BO49" s="14"/>
      <c r="BP49" s="17"/>
      <c r="BQ49" s="3"/>
      <c r="BR49" s="4"/>
      <c r="BS49" s="3"/>
      <c r="BT49" s="17"/>
      <c r="BU49" s="17"/>
      <c r="BV49" s="6"/>
      <c r="BW49" s="3"/>
      <c r="BX49" s="3"/>
      <c r="BY49" s="7"/>
      <c r="BZ49" s="8"/>
      <c r="CA49" s="8"/>
      <c r="CB49" s="8"/>
      <c r="CD49" s="14"/>
      <c r="CE49" s="17"/>
      <c r="CF49" s="3"/>
      <c r="CG49" s="4"/>
      <c r="CH49" s="3"/>
      <c r="CI49" s="17"/>
      <c r="CJ49" s="17"/>
      <c r="CK49" s="6"/>
      <c r="CL49" s="3"/>
      <c r="CM49" s="3"/>
      <c r="CN49" s="7"/>
      <c r="CO49" s="8"/>
      <c r="CP49" s="8"/>
      <c r="CQ49" s="8"/>
      <c r="CS49" s="14"/>
      <c r="CT49" s="17"/>
      <c r="CU49" s="3"/>
      <c r="CV49" s="4"/>
      <c r="CW49" s="3"/>
      <c r="CX49" s="17"/>
      <c r="CY49" s="17"/>
      <c r="CZ49" s="6"/>
      <c r="DA49" s="3"/>
      <c r="DB49" s="3"/>
      <c r="DC49" s="7"/>
      <c r="DD49" s="8"/>
      <c r="DE49" s="8"/>
      <c r="DF49" s="8"/>
      <c r="DH49" s="14"/>
      <c r="DI49" s="17"/>
      <c r="DJ49" s="3"/>
      <c r="DK49" s="4"/>
      <c r="DL49" s="3"/>
      <c r="DM49" s="17"/>
      <c r="DN49" s="17"/>
      <c r="DO49" s="6"/>
      <c r="DP49" s="3"/>
      <c r="DQ49" s="3"/>
      <c r="DR49" s="7"/>
      <c r="DS49" s="8"/>
      <c r="DT49" s="8"/>
      <c r="DU49" s="8"/>
      <c r="DW49" s="14"/>
      <c r="DX49" s="17"/>
      <c r="DY49" s="3"/>
      <c r="DZ49" s="4"/>
      <c r="EA49" s="3"/>
      <c r="EB49" s="17"/>
      <c r="EC49" s="17"/>
      <c r="ED49" s="6"/>
      <c r="EE49" s="3"/>
      <c r="EF49" s="3"/>
      <c r="EG49" s="7"/>
      <c r="EH49" s="8"/>
      <c r="EI49" s="8"/>
      <c r="EJ49" s="8"/>
      <c r="EL49" s="14"/>
      <c r="EM49" s="17"/>
      <c r="EN49" s="3"/>
      <c r="EO49" s="4"/>
      <c r="EP49" s="3"/>
      <c r="EQ49" s="17"/>
      <c r="ER49" s="17"/>
      <c r="ES49" s="6"/>
      <c r="ET49" s="3"/>
      <c r="EU49" s="3"/>
      <c r="EV49" s="7"/>
      <c r="EW49" s="8"/>
      <c r="EX49" s="8"/>
      <c r="EY49" s="8"/>
      <c r="FA49" s="14"/>
      <c r="FB49" s="17"/>
      <c r="FC49" s="3"/>
      <c r="FD49" s="4"/>
      <c r="FE49" s="3"/>
      <c r="FF49" s="17"/>
      <c r="FG49" s="17"/>
      <c r="FH49" s="6"/>
      <c r="FI49" s="3"/>
      <c r="FJ49" s="3"/>
      <c r="FK49" s="7"/>
      <c r="FL49" s="8"/>
      <c r="FM49" s="8"/>
      <c r="FN49" s="8"/>
      <c r="FP49" s="14"/>
      <c r="FQ49" s="17"/>
      <c r="FR49" s="3"/>
      <c r="FS49" s="4"/>
      <c r="FT49" s="3"/>
      <c r="FU49" s="17"/>
      <c r="FV49" s="17"/>
      <c r="FW49" s="6"/>
      <c r="FX49" s="3"/>
      <c r="FY49" s="3"/>
      <c r="FZ49" s="7"/>
      <c r="GA49" s="8"/>
      <c r="GB49" s="8"/>
      <c r="GC49" s="8"/>
      <c r="GE49" s="14">
        <f t="shared" si="7"/>
        <v>47.8</v>
      </c>
      <c r="GF49" s="14">
        <f t="shared" si="8"/>
        <v>42.691798554999991</v>
      </c>
      <c r="GG49" s="14">
        <f t="shared" si="9"/>
        <v>-0.90352272867107697</v>
      </c>
      <c r="GH49" s="4">
        <f t="shared" si="10"/>
        <v>-2.1163847840869613E-2</v>
      </c>
      <c r="GI49" s="3">
        <f t="shared" si="11"/>
        <v>105340.43948768674</v>
      </c>
      <c r="GJ49" s="3">
        <f t="shared" si="12"/>
        <v>21.085000000000001</v>
      </c>
      <c r="GK49" s="17">
        <f t="shared" si="13"/>
        <v>60129.293739436609</v>
      </c>
      <c r="GL49" s="4">
        <f t="shared" si="14"/>
        <v>0.84507042253521125</v>
      </c>
      <c r="GM49" s="3">
        <f t="shared" si="15"/>
        <v>1.6804096638655464</v>
      </c>
      <c r="GN49" s="14">
        <f t="shared" si="16"/>
        <v>42.691798555000005</v>
      </c>
      <c r="GO49" s="3">
        <f t="shared" si="17"/>
        <v>0.90312519736774299</v>
      </c>
      <c r="GP49" s="35">
        <f t="shared" si="18"/>
        <v>60</v>
      </c>
      <c r="GQ49" s="35">
        <f t="shared" si="19"/>
        <v>11</v>
      </c>
      <c r="GR49" s="35">
        <f t="shared" si="20"/>
        <v>71</v>
      </c>
    </row>
    <row r="50" spans="1:200" x14ac:dyDescent="0.35">
      <c r="A50" s="3" t="s">
        <v>82</v>
      </c>
      <c r="B50" s="2" t="s">
        <v>142</v>
      </c>
      <c r="C50" s="2" t="s">
        <v>127</v>
      </c>
      <c r="D50" s="2" t="s">
        <v>108</v>
      </c>
      <c r="E50" s="3" t="s">
        <v>85</v>
      </c>
      <c r="F50" s="18"/>
      <c r="G50" s="14">
        <v>7.25</v>
      </c>
      <c r="H50" s="17">
        <v>7.9112900000000002</v>
      </c>
      <c r="I50" s="6">
        <v>6.5396478038343675</v>
      </c>
      <c r="J50" s="4">
        <f t="shared" si="0"/>
        <v>0.82662218220219041</v>
      </c>
      <c r="K50" s="3">
        <v>109731.37569325061</v>
      </c>
      <c r="L50" s="17">
        <v>1.25</v>
      </c>
      <c r="M50" s="17">
        <f t="shared" si="1"/>
        <v>241666.66666666666</v>
      </c>
      <c r="N50" s="4">
        <f t="shared" si="2"/>
        <v>1</v>
      </c>
      <c r="O50" s="3">
        <v>3</v>
      </c>
      <c r="P50" s="6"/>
      <c r="Q50" s="7">
        <v>6.3290319999999998</v>
      </c>
      <c r="R50" s="30">
        <v>3</v>
      </c>
      <c r="S50" s="30">
        <v>0</v>
      </c>
      <c r="T50" s="30">
        <f t="shared" si="3"/>
        <v>3</v>
      </c>
      <c r="V50" s="14">
        <v>7.25</v>
      </c>
      <c r="W50" s="17">
        <v>7.7</v>
      </c>
      <c r="X50" s="6">
        <v>6.1536780829188817</v>
      </c>
      <c r="Y50" s="4">
        <f t="shared" si="4"/>
        <v>0.79917897180764697</v>
      </c>
      <c r="Z50" s="3">
        <v>117072.22500746821</v>
      </c>
      <c r="AA50" s="17">
        <v>1.4</v>
      </c>
      <c r="AB50" s="17">
        <v>110000.00000000001</v>
      </c>
      <c r="AC50" s="4">
        <f t="shared" si="5"/>
        <v>1</v>
      </c>
      <c r="AD50" s="6">
        <v>7</v>
      </c>
      <c r="AE50" s="3"/>
      <c r="AF50" s="7">
        <v>1.1707222500746821</v>
      </c>
      <c r="AG50" s="30">
        <v>7</v>
      </c>
      <c r="AH50" s="30">
        <v>0</v>
      </c>
      <c r="AI50" s="30">
        <f t="shared" si="6"/>
        <v>7</v>
      </c>
      <c r="AK50" s="14"/>
      <c r="AL50" s="17"/>
      <c r="AM50" s="3"/>
      <c r="AN50" s="4"/>
      <c r="AO50" s="3"/>
      <c r="AP50" s="17"/>
      <c r="AQ50" s="17"/>
      <c r="AR50" s="6"/>
      <c r="AS50" s="3"/>
      <c r="AT50" s="3"/>
      <c r="AU50" s="7"/>
      <c r="AV50" s="8"/>
      <c r="AW50" s="8"/>
      <c r="AX50" s="8"/>
      <c r="AZ50" s="14"/>
      <c r="BA50" s="17"/>
      <c r="BB50" s="3"/>
      <c r="BC50" s="4"/>
      <c r="BD50" s="3"/>
      <c r="BE50" s="17"/>
      <c r="BF50" s="17"/>
      <c r="BG50" s="6"/>
      <c r="BH50" s="3"/>
      <c r="BI50" s="3"/>
      <c r="BJ50" s="7"/>
      <c r="BK50" s="8"/>
      <c r="BL50" s="8"/>
      <c r="BM50" s="8"/>
      <c r="BO50" s="14"/>
      <c r="BP50" s="17"/>
      <c r="BQ50" s="3"/>
      <c r="BR50" s="4"/>
      <c r="BS50" s="3"/>
      <c r="BT50" s="17"/>
      <c r="BU50" s="17"/>
      <c r="BV50" s="6"/>
      <c r="BW50" s="3"/>
      <c r="BX50" s="3"/>
      <c r="BY50" s="7"/>
      <c r="BZ50" s="8"/>
      <c r="CA50" s="8"/>
      <c r="CB50" s="8"/>
      <c r="CD50" s="14"/>
      <c r="CE50" s="17"/>
      <c r="CF50" s="3"/>
      <c r="CG50" s="4"/>
      <c r="CH50" s="3"/>
      <c r="CI50" s="17"/>
      <c r="CJ50" s="17"/>
      <c r="CK50" s="6"/>
      <c r="CL50" s="3"/>
      <c r="CM50" s="3"/>
      <c r="CN50" s="7"/>
      <c r="CO50" s="8"/>
      <c r="CP50" s="8"/>
      <c r="CQ50" s="8"/>
      <c r="CS50" s="14"/>
      <c r="CT50" s="17"/>
      <c r="CU50" s="3"/>
      <c r="CV50" s="4"/>
      <c r="CW50" s="3"/>
      <c r="CX50" s="17"/>
      <c r="CY50" s="17"/>
      <c r="CZ50" s="6"/>
      <c r="DA50" s="3"/>
      <c r="DB50" s="3"/>
      <c r="DC50" s="7"/>
      <c r="DD50" s="8"/>
      <c r="DE50" s="8"/>
      <c r="DF50" s="8"/>
      <c r="DH50" s="14"/>
      <c r="DI50" s="17"/>
      <c r="DJ50" s="3"/>
      <c r="DK50" s="4"/>
      <c r="DL50" s="3"/>
      <c r="DM50" s="17"/>
      <c r="DN50" s="17"/>
      <c r="DO50" s="6"/>
      <c r="DP50" s="3"/>
      <c r="DQ50" s="3"/>
      <c r="DR50" s="7"/>
      <c r="DS50" s="8"/>
      <c r="DT50" s="8"/>
      <c r="DU50" s="8"/>
      <c r="DW50" s="14"/>
      <c r="DX50" s="17"/>
      <c r="DY50" s="3"/>
      <c r="DZ50" s="4"/>
      <c r="EA50" s="3"/>
      <c r="EB50" s="17"/>
      <c r="EC50" s="17"/>
      <c r="ED50" s="6"/>
      <c r="EE50" s="3"/>
      <c r="EF50" s="3"/>
      <c r="EG50" s="7"/>
      <c r="EH50" s="8"/>
      <c r="EI50" s="8"/>
      <c r="EJ50" s="8"/>
      <c r="EL50" s="14"/>
      <c r="EM50" s="17"/>
      <c r="EN50" s="3"/>
      <c r="EO50" s="4"/>
      <c r="EP50" s="3"/>
      <c r="EQ50" s="17"/>
      <c r="ER50" s="17"/>
      <c r="ES50" s="6"/>
      <c r="ET50" s="3"/>
      <c r="EU50" s="3"/>
      <c r="EV50" s="7"/>
      <c r="EW50" s="8"/>
      <c r="EX50" s="8"/>
      <c r="EY50" s="8"/>
      <c r="FA50" s="14"/>
      <c r="FB50" s="17"/>
      <c r="FC50" s="3"/>
      <c r="FD50" s="4"/>
      <c r="FE50" s="3"/>
      <c r="FF50" s="17"/>
      <c r="FG50" s="17"/>
      <c r="FH50" s="6"/>
      <c r="FI50" s="3"/>
      <c r="FJ50" s="3"/>
      <c r="FK50" s="7"/>
      <c r="FL50" s="8"/>
      <c r="FM50" s="8"/>
      <c r="FN50" s="8"/>
      <c r="FP50" s="14"/>
      <c r="FQ50" s="17"/>
      <c r="FR50" s="3"/>
      <c r="FS50" s="4"/>
      <c r="FT50" s="3"/>
      <c r="FU50" s="17"/>
      <c r="FV50" s="17"/>
      <c r="FW50" s="6"/>
      <c r="FX50" s="3"/>
      <c r="FY50" s="3"/>
      <c r="FZ50" s="7"/>
      <c r="GA50" s="8"/>
      <c r="GB50" s="8"/>
      <c r="GC50" s="8"/>
      <c r="GE50" s="14">
        <f t="shared" si="7"/>
        <v>14.5</v>
      </c>
      <c r="GF50" s="14">
        <f t="shared" si="8"/>
        <v>15.61129</v>
      </c>
      <c r="GG50" s="14">
        <f t="shared" si="9"/>
        <v>12.69332588675325</v>
      </c>
      <c r="GH50" s="4">
        <f t="shared" si="10"/>
        <v>0.81308629118754761</v>
      </c>
      <c r="GI50" s="3">
        <f t="shared" si="11"/>
        <v>113401.80035035941</v>
      </c>
      <c r="GJ50" s="3">
        <f t="shared" si="12"/>
        <v>1.325</v>
      </c>
      <c r="GK50" s="17">
        <f t="shared" si="13"/>
        <v>156112.9</v>
      </c>
      <c r="GL50" s="4">
        <f t="shared" si="14"/>
        <v>1</v>
      </c>
      <c r="GM50" s="3">
        <f t="shared" si="15"/>
        <v>5</v>
      </c>
      <c r="GN50" s="14">
        <f t="shared" si="16"/>
        <v>0</v>
      </c>
      <c r="GO50" s="3">
        <f t="shared" si="17"/>
        <v>3.7498771250373411</v>
      </c>
      <c r="GP50" s="35">
        <f t="shared" si="18"/>
        <v>10</v>
      </c>
      <c r="GQ50" s="35">
        <f t="shared" si="19"/>
        <v>0</v>
      </c>
      <c r="GR50" s="35">
        <f t="shared" si="20"/>
        <v>10</v>
      </c>
    </row>
    <row r="51" spans="1:200" x14ac:dyDescent="0.35">
      <c r="A51" s="3" t="s">
        <v>30</v>
      </c>
      <c r="B51" s="2" t="s">
        <v>142</v>
      </c>
      <c r="C51" s="2" t="s">
        <v>83</v>
      </c>
      <c r="D51" s="2" t="s">
        <v>108</v>
      </c>
      <c r="E51" s="3" t="s">
        <v>2</v>
      </c>
      <c r="F51" s="18"/>
      <c r="G51" s="14">
        <v>19</v>
      </c>
      <c r="H51" s="17">
        <v>0</v>
      </c>
      <c r="I51" s="6">
        <v>-8.0491134294416629</v>
      </c>
      <c r="J51" s="4">
        <f t="shared" si="0"/>
        <v>0</v>
      </c>
      <c r="K51" s="3">
        <v>133043.19718085392</v>
      </c>
      <c r="L51" s="17">
        <v>6.05</v>
      </c>
      <c r="M51" s="17">
        <f t="shared" si="1"/>
        <v>0</v>
      </c>
      <c r="N51" s="4">
        <f t="shared" si="2"/>
        <v>0</v>
      </c>
      <c r="O51" s="3">
        <v>0</v>
      </c>
      <c r="P51" s="6"/>
      <c r="Q51" s="7"/>
      <c r="R51" s="30">
        <v>0</v>
      </c>
      <c r="S51" s="30">
        <v>0</v>
      </c>
      <c r="T51" s="30">
        <f t="shared" si="3"/>
        <v>0</v>
      </c>
      <c r="V51" s="14">
        <v>19</v>
      </c>
      <c r="W51" s="17">
        <v>0.99424999999999997</v>
      </c>
      <c r="X51" s="6">
        <v>-6.8070702249404569</v>
      </c>
      <c r="Y51" s="4">
        <f t="shared" si="4"/>
        <v>-6.8464372390650814</v>
      </c>
      <c r="Z51" s="3">
        <v>131992.62976937299</v>
      </c>
      <c r="AA51" s="17">
        <v>6</v>
      </c>
      <c r="AB51" s="17">
        <v>49712.5</v>
      </c>
      <c r="AC51" s="4">
        <f t="shared" si="5"/>
        <v>1</v>
      </c>
      <c r="AD51" s="6">
        <v>0.5</v>
      </c>
      <c r="AE51" s="3">
        <f>99425/100000</f>
        <v>0.99424999999999997</v>
      </c>
      <c r="AF51" s="7">
        <v>0.16570833333333332</v>
      </c>
      <c r="AG51" s="30">
        <v>2</v>
      </c>
      <c r="AH51" s="30">
        <v>0</v>
      </c>
      <c r="AI51" s="30">
        <f t="shared" si="6"/>
        <v>2</v>
      </c>
      <c r="AK51" s="14"/>
      <c r="AL51" s="17"/>
      <c r="AM51" s="3"/>
      <c r="AN51" s="4"/>
      <c r="AO51" s="3"/>
      <c r="AP51" s="17"/>
      <c r="AQ51" s="17"/>
      <c r="AR51" s="6"/>
      <c r="AS51" s="3"/>
      <c r="AT51" s="3"/>
      <c r="AU51" s="7"/>
      <c r="AV51" s="8"/>
      <c r="AW51" s="8"/>
      <c r="AX51" s="8"/>
      <c r="AZ51" s="14"/>
      <c r="BA51" s="17"/>
      <c r="BB51" s="3"/>
      <c r="BC51" s="4"/>
      <c r="BD51" s="3"/>
      <c r="BE51" s="17"/>
      <c r="BF51" s="17"/>
      <c r="BG51" s="6"/>
      <c r="BH51" s="3"/>
      <c r="BI51" s="3"/>
      <c r="BJ51" s="7"/>
      <c r="BK51" s="8"/>
      <c r="BL51" s="8"/>
      <c r="BM51" s="8"/>
      <c r="BO51" s="14"/>
      <c r="BP51" s="17"/>
      <c r="BQ51" s="3"/>
      <c r="BR51" s="4"/>
      <c r="BS51" s="3"/>
      <c r="BT51" s="17"/>
      <c r="BU51" s="17"/>
      <c r="BV51" s="6"/>
      <c r="BW51" s="3"/>
      <c r="BX51" s="3"/>
      <c r="BY51" s="7"/>
      <c r="BZ51" s="8"/>
      <c r="CA51" s="8"/>
      <c r="CB51" s="8"/>
      <c r="CD51" s="14"/>
      <c r="CE51" s="17"/>
      <c r="CF51" s="3"/>
      <c r="CG51" s="4"/>
      <c r="CH51" s="3"/>
      <c r="CI51" s="17"/>
      <c r="CJ51" s="17"/>
      <c r="CK51" s="6"/>
      <c r="CL51" s="3"/>
      <c r="CM51" s="3"/>
      <c r="CN51" s="7"/>
      <c r="CO51" s="8"/>
      <c r="CP51" s="8"/>
      <c r="CQ51" s="8"/>
      <c r="CS51" s="14"/>
      <c r="CT51" s="17"/>
      <c r="CU51" s="3"/>
      <c r="CV51" s="4"/>
      <c r="CW51" s="3"/>
      <c r="CX51" s="17"/>
      <c r="CY51" s="17"/>
      <c r="CZ51" s="6"/>
      <c r="DA51" s="3"/>
      <c r="DB51" s="3"/>
      <c r="DC51" s="7"/>
      <c r="DD51" s="8"/>
      <c r="DE51" s="8"/>
      <c r="DF51" s="8"/>
      <c r="DH51" s="14"/>
      <c r="DI51" s="17"/>
      <c r="DJ51" s="3"/>
      <c r="DK51" s="4"/>
      <c r="DL51" s="3"/>
      <c r="DM51" s="17"/>
      <c r="DN51" s="17"/>
      <c r="DO51" s="6"/>
      <c r="DP51" s="3"/>
      <c r="DQ51" s="3"/>
      <c r="DR51" s="7"/>
      <c r="DS51" s="8"/>
      <c r="DT51" s="8"/>
      <c r="DU51" s="8"/>
      <c r="DW51" s="14"/>
      <c r="DX51" s="17"/>
      <c r="DY51" s="3"/>
      <c r="DZ51" s="4"/>
      <c r="EA51" s="3"/>
      <c r="EB51" s="17"/>
      <c r="EC51" s="17"/>
      <c r="ED51" s="6"/>
      <c r="EE51" s="3"/>
      <c r="EF51" s="3"/>
      <c r="EG51" s="7"/>
      <c r="EH51" s="8"/>
      <c r="EI51" s="8"/>
      <c r="EJ51" s="8"/>
      <c r="EL51" s="14"/>
      <c r="EM51" s="17"/>
      <c r="EN51" s="3"/>
      <c r="EO51" s="4"/>
      <c r="EP51" s="3"/>
      <c r="EQ51" s="17"/>
      <c r="ER51" s="17"/>
      <c r="ES51" s="6"/>
      <c r="ET51" s="3"/>
      <c r="EU51" s="3"/>
      <c r="EV51" s="7"/>
      <c r="EW51" s="8"/>
      <c r="EX51" s="8"/>
      <c r="EY51" s="8"/>
      <c r="FA51" s="14"/>
      <c r="FB51" s="17"/>
      <c r="FC51" s="3"/>
      <c r="FD51" s="4"/>
      <c r="FE51" s="3"/>
      <c r="FF51" s="17"/>
      <c r="FG51" s="17"/>
      <c r="FH51" s="6"/>
      <c r="FI51" s="3"/>
      <c r="FJ51" s="3"/>
      <c r="FK51" s="7"/>
      <c r="FL51" s="8"/>
      <c r="FM51" s="8"/>
      <c r="FN51" s="8"/>
      <c r="FP51" s="14"/>
      <c r="FQ51" s="17"/>
      <c r="FR51" s="3"/>
      <c r="FS51" s="4"/>
      <c r="FT51" s="3"/>
      <c r="FU51" s="17"/>
      <c r="FV51" s="17"/>
      <c r="FW51" s="6"/>
      <c r="FX51" s="3"/>
      <c r="FY51" s="3"/>
      <c r="FZ51" s="7"/>
      <c r="GA51" s="8"/>
      <c r="GB51" s="8"/>
      <c r="GC51" s="8"/>
      <c r="GE51" s="14">
        <f t="shared" si="7"/>
        <v>38</v>
      </c>
      <c r="GF51" s="14">
        <f t="shared" si="8"/>
        <v>0.99424999999999997</v>
      </c>
      <c r="GG51" s="14">
        <f t="shared" si="9"/>
        <v>-14.85618365438212</v>
      </c>
      <c r="GH51" s="4">
        <f t="shared" si="10"/>
        <v>-14.942100733600322</v>
      </c>
      <c r="GI51" s="3">
        <f t="shared" si="11"/>
        <v>132517.91347511346</v>
      </c>
      <c r="GJ51" s="3">
        <f t="shared" si="12"/>
        <v>6.0250000000000004</v>
      </c>
      <c r="GK51" s="17">
        <f t="shared" si="13"/>
        <v>49712.5</v>
      </c>
      <c r="GL51" s="4">
        <f t="shared" si="14"/>
        <v>1</v>
      </c>
      <c r="GM51" s="3">
        <f t="shared" si="15"/>
        <v>0.25</v>
      </c>
      <c r="GN51" s="14">
        <f t="shared" si="16"/>
        <v>0.99424999999999997</v>
      </c>
      <c r="GO51" s="3">
        <f t="shared" si="17"/>
        <v>0.16570833333333332</v>
      </c>
      <c r="GP51" s="35">
        <f t="shared" si="18"/>
        <v>2</v>
      </c>
      <c r="GQ51" s="35">
        <f t="shared" si="19"/>
        <v>0</v>
      </c>
      <c r="GR51" s="35">
        <f t="shared" si="20"/>
        <v>2</v>
      </c>
    </row>
    <row r="52" spans="1:200" x14ac:dyDescent="0.35">
      <c r="A52" s="3" t="s">
        <v>19</v>
      </c>
      <c r="B52" s="2" t="s">
        <v>142</v>
      </c>
      <c r="C52" s="2" t="s">
        <v>84</v>
      </c>
      <c r="D52" s="2" t="s">
        <v>107</v>
      </c>
      <c r="E52" s="3" t="s">
        <v>2</v>
      </c>
      <c r="F52" s="18"/>
      <c r="G52" s="14">
        <v>1</v>
      </c>
      <c r="H52" s="17">
        <v>1</v>
      </c>
      <c r="I52" s="6">
        <v>-1.0352955138650124</v>
      </c>
      <c r="J52" s="4">
        <f t="shared" si="0"/>
        <v>-1.0352955138650124</v>
      </c>
      <c r="K52" s="3">
        <v>101764.77569325062</v>
      </c>
      <c r="L52" s="17">
        <v>2</v>
      </c>
      <c r="M52" s="17">
        <f t="shared" si="1"/>
        <v>0</v>
      </c>
      <c r="N52" s="4">
        <f t="shared" si="2"/>
        <v>0</v>
      </c>
      <c r="O52" s="3"/>
      <c r="P52" s="6"/>
      <c r="Q52" s="7">
        <v>0.5</v>
      </c>
      <c r="R52" s="30">
        <v>0</v>
      </c>
      <c r="S52" s="30">
        <v>0</v>
      </c>
      <c r="T52" s="30">
        <f t="shared" si="3"/>
        <v>0</v>
      </c>
      <c r="V52" s="14">
        <v>2</v>
      </c>
      <c r="W52" s="17">
        <v>0</v>
      </c>
      <c r="X52" s="6">
        <v>-0.1651604379998505</v>
      </c>
      <c r="Y52" s="4">
        <f t="shared" si="4"/>
        <v>0</v>
      </c>
      <c r="Z52" s="3"/>
      <c r="AA52" s="17">
        <v>0</v>
      </c>
      <c r="AB52" s="17"/>
      <c r="AC52" s="4">
        <f t="shared" si="5"/>
        <v>0</v>
      </c>
      <c r="AD52" s="6">
        <v>0</v>
      </c>
      <c r="AE52" s="3"/>
      <c r="AF52" s="7">
        <v>0</v>
      </c>
      <c r="AG52" s="30">
        <v>0</v>
      </c>
      <c r="AH52" s="30">
        <v>0</v>
      </c>
      <c r="AI52" s="30">
        <f t="shared" si="6"/>
        <v>0</v>
      </c>
      <c r="AK52" s="14"/>
      <c r="AL52" s="17"/>
      <c r="AM52" s="3"/>
      <c r="AN52" s="4"/>
      <c r="AO52" s="3"/>
      <c r="AP52" s="17"/>
      <c r="AQ52" s="17"/>
      <c r="AR52" s="6"/>
      <c r="AS52" s="3"/>
      <c r="AT52" s="3"/>
      <c r="AU52" s="7"/>
      <c r="AV52" s="8"/>
      <c r="AW52" s="8"/>
      <c r="AX52" s="8"/>
      <c r="AZ52" s="14"/>
      <c r="BA52" s="17"/>
      <c r="BB52" s="3"/>
      <c r="BC52" s="4"/>
      <c r="BD52" s="3"/>
      <c r="BE52" s="17"/>
      <c r="BF52" s="17"/>
      <c r="BG52" s="6"/>
      <c r="BH52" s="3"/>
      <c r="BI52" s="3"/>
      <c r="BJ52" s="7"/>
      <c r="BK52" s="8"/>
      <c r="BL52" s="8"/>
      <c r="BM52" s="8"/>
      <c r="BO52" s="14"/>
      <c r="BP52" s="17"/>
      <c r="BQ52" s="3"/>
      <c r="BR52" s="4"/>
      <c r="BS52" s="3"/>
      <c r="BT52" s="17"/>
      <c r="BU52" s="17"/>
      <c r="BV52" s="6"/>
      <c r="BW52" s="3"/>
      <c r="BX52" s="3"/>
      <c r="BY52" s="7"/>
      <c r="BZ52" s="8"/>
      <c r="CA52" s="8"/>
      <c r="CB52" s="8"/>
      <c r="CD52" s="14"/>
      <c r="CE52" s="17"/>
      <c r="CF52" s="3"/>
      <c r="CG52" s="4"/>
      <c r="CH52" s="3"/>
      <c r="CI52" s="17"/>
      <c r="CJ52" s="17"/>
      <c r="CK52" s="6"/>
      <c r="CL52" s="3"/>
      <c r="CM52" s="3"/>
      <c r="CN52" s="7"/>
      <c r="CO52" s="8"/>
      <c r="CP52" s="8"/>
      <c r="CQ52" s="8"/>
      <c r="CS52" s="14"/>
      <c r="CT52" s="17"/>
      <c r="CU52" s="3"/>
      <c r="CV52" s="4"/>
      <c r="CW52" s="3"/>
      <c r="CX52" s="17"/>
      <c r="CY52" s="17"/>
      <c r="CZ52" s="6"/>
      <c r="DA52" s="3"/>
      <c r="DB52" s="3"/>
      <c r="DC52" s="7"/>
      <c r="DD52" s="8"/>
      <c r="DE52" s="8"/>
      <c r="DF52" s="8"/>
      <c r="DH52" s="14"/>
      <c r="DI52" s="17"/>
      <c r="DJ52" s="3"/>
      <c r="DK52" s="4"/>
      <c r="DL52" s="3"/>
      <c r="DM52" s="17"/>
      <c r="DN52" s="17"/>
      <c r="DO52" s="6"/>
      <c r="DP52" s="3"/>
      <c r="DQ52" s="3"/>
      <c r="DR52" s="7"/>
      <c r="DS52" s="8"/>
      <c r="DT52" s="8"/>
      <c r="DU52" s="8"/>
      <c r="DW52" s="14"/>
      <c r="DX52" s="17"/>
      <c r="DY52" s="3"/>
      <c r="DZ52" s="4"/>
      <c r="EA52" s="3"/>
      <c r="EB52" s="17"/>
      <c r="EC52" s="17"/>
      <c r="ED52" s="6"/>
      <c r="EE52" s="3"/>
      <c r="EF52" s="3"/>
      <c r="EG52" s="7"/>
      <c r="EH52" s="8"/>
      <c r="EI52" s="8"/>
      <c r="EJ52" s="8"/>
      <c r="EL52" s="14"/>
      <c r="EM52" s="17"/>
      <c r="EN52" s="3"/>
      <c r="EO52" s="4"/>
      <c r="EP52" s="3"/>
      <c r="EQ52" s="17"/>
      <c r="ER52" s="17"/>
      <c r="ES52" s="6"/>
      <c r="ET52" s="3"/>
      <c r="EU52" s="3"/>
      <c r="EV52" s="7"/>
      <c r="EW52" s="8"/>
      <c r="EX52" s="8"/>
      <c r="EY52" s="8"/>
      <c r="FA52" s="14"/>
      <c r="FB52" s="17"/>
      <c r="FC52" s="3"/>
      <c r="FD52" s="4"/>
      <c r="FE52" s="3"/>
      <c r="FF52" s="17"/>
      <c r="FG52" s="17"/>
      <c r="FH52" s="6"/>
      <c r="FI52" s="3"/>
      <c r="FJ52" s="3"/>
      <c r="FK52" s="7"/>
      <c r="FL52" s="8"/>
      <c r="FM52" s="8"/>
      <c r="FN52" s="8"/>
      <c r="FP52" s="14"/>
      <c r="FQ52" s="17"/>
      <c r="FR52" s="3"/>
      <c r="FS52" s="4"/>
      <c r="FT52" s="3"/>
      <c r="FU52" s="17"/>
      <c r="FV52" s="17"/>
      <c r="FW52" s="6"/>
      <c r="FX52" s="3"/>
      <c r="FY52" s="3"/>
      <c r="FZ52" s="7"/>
      <c r="GA52" s="8"/>
      <c r="GB52" s="8"/>
      <c r="GC52" s="8"/>
      <c r="GE52" s="14">
        <f t="shared" si="7"/>
        <v>3</v>
      </c>
      <c r="GF52" s="14">
        <f t="shared" si="8"/>
        <v>1</v>
      </c>
      <c r="GG52" s="14">
        <f t="shared" si="9"/>
        <v>-1.200455951864863</v>
      </c>
      <c r="GH52" s="4">
        <f t="shared" si="10"/>
        <v>-1.200455951864863</v>
      </c>
      <c r="GI52" s="3">
        <f t="shared" si="11"/>
        <v>101764.77569325062</v>
      </c>
      <c r="GJ52" s="3">
        <f t="shared" si="12"/>
        <v>1</v>
      </c>
      <c r="GK52" s="17" t="e">
        <f t="shared" si="13"/>
        <v>#DIV/0!</v>
      </c>
      <c r="GL52" s="4" t="e">
        <f t="shared" si="14"/>
        <v>#DIV/0!</v>
      </c>
      <c r="GM52" s="3">
        <f t="shared" si="15"/>
        <v>0</v>
      </c>
      <c r="GN52" s="14">
        <f t="shared" si="16"/>
        <v>0</v>
      </c>
      <c r="GO52" s="3">
        <f t="shared" si="17"/>
        <v>0.25</v>
      </c>
      <c r="GP52" s="35">
        <f t="shared" si="18"/>
        <v>0</v>
      </c>
      <c r="GQ52" s="35">
        <f t="shared" si="19"/>
        <v>0</v>
      </c>
      <c r="GR52" s="35">
        <f t="shared" si="20"/>
        <v>0</v>
      </c>
    </row>
    <row r="53" spans="1:200" x14ac:dyDescent="0.35">
      <c r="A53" s="3" t="s">
        <v>61</v>
      </c>
      <c r="B53" s="2" t="s">
        <v>142</v>
      </c>
      <c r="C53" s="2" t="s">
        <v>84</v>
      </c>
      <c r="D53" s="2" t="s">
        <v>107</v>
      </c>
      <c r="E53" s="3" t="s">
        <v>2</v>
      </c>
      <c r="F53" s="18"/>
      <c r="G53" s="14">
        <v>0</v>
      </c>
      <c r="H53" s="17">
        <v>0</v>
      </c>
      <c r="I53" s="6">
        <v>0</v>
      </c>
      <c r="J53" s="4">
        <f t="shared" si="0"/>
        <v>0</v>
      </c>
      <c r="K53" s="3">
        <v>0</v>
      </c>
      <c r="L53" s="17">
        <v>0</v>
      </c>
      <c r="M53" s="17">
        <f t="shared" si="1"/>
        <v>0</v>
      </c>
      <c r="N53" s="4">
        <f t="shared" si="2"/>
        <v>0</v>
      </c>
      <c r="O53" s="3"/>
      <c r="P53" s="6"/>
      <c r="Q53" s="7"/>
      <c r="R53" s="30">
        <v>0</v>
      </c>
      <c r="S53" s="30">
        <v>0</v>
      </c>
      <c r="T53" s="30">
        <f t="shared" si="3"/>
        <v>0</v>
      </c>
      <c r="V53" s="14">
        <v>0</v>
      </c>
      <c r="W53" s="17">
        <v>0</v>
      </c>
      <c r="X53" s="6">
        <v>0</v>
      </c>
      <c r="Y53" s="4">
        <f t="shared" si="4"/>
        <v>0</v>
      </c>
      <c r="Z53" s="3"/>
      <c r="AA53" s="17">
        <v>0</v>
      </c>
      <c r="AB53" s="17"/>
      <c r="AC53" s="4">
        <f t="shared" si="5"/>
        <v>0</v>
      </c>
      <c r="AD53" s="6" t="s">
        <v>123</v>
      </c>
      <c r="AE53" s="3"/>
      <c r="AF53" s="7">
        <v>0</v>
      </c>
      <c r="AG53" s="30">
        <v>0</v>
      </c>
      <c r="AH53" s="30">
        <v>0</v>
      </c>
      <c r="AI53" s="30">
        <f t="shared" si="6"/>
        <v>0</v>
      </c>
      <c r="AK53" s="14"/>
      <c r="AL53" s="17"/>
      <c r="AM53" s="3"/>
      <c r="AN53" s="4"/>
      <c r="AO53" s="3"/>
      <c r="AP53" s="17"/>
      <c r="AQ53" s="17"/>
      <c r="AR53" s="6"/>
      <c r="AS53" s="3"/>
      <c r="AT53" s="3"/>
      <c r="AU53" s="7"/>
      <c r="AV53" s="8"/>
      <c r="AW53" s="8"/>
      <c r="AX53" s="8"/>
      <c r="AZ53" s="14"/>
      <c r="BA53" s="17"/>
      <c r="BB53" s="3"/>
      <c r="BC53" s="4"/>
      <c r="BD53" s="3"/>
      <c r="BE53" s="17"/>
      <c r="BF53" s="17"/>
      <c r="BG53" s="6"/>
      <c r="BH53" s="3"/>
      <c r="BI53" s="3"/>
      <c r="BJ53" s="7"/>
      <c r="BK53" s="8"/>
      <c r="BL53" s="8"/>
      <c r="BM53" s="8"/>
      <c r="BO53" s="14"/>
      <c r="BP53" s="17"/>
      <c r="BQ53" s="3"/>
      <c r="BR53" s="4"/>
      <c r="BS53" s="3"/>
      <c r="BT53" s="17"/>
      <c r="BU53" s="17"/>
      <c r="BV53" s="6"/>
      <c r="BW53" s="3"/>
      <c r="BX53" s="3"/>
      <c r="BY53" s="7"/>
      <c r="BZ53" s="8"/>
      <c r="CA53" s="8"/>
      <c r="CB53" s="8"/>
      <c r="CD53" s="14"/>
      <c r="CE53" s="17"/>
      <c r="CF53" s="3"/>
      <c r="CG53" s="4"/>
      <c r="CH53" s="3"/>
      <c r="CI53" s="17"/>
      <c r="CJ53" s="17"/>
      <c r="CK53" s="6"/>
      <c r="CL53" s="3"/>
      <c r="CM53" s="3"/>
      <c r="CN53" s="7"/>
      <c r="CO53" s="8"/>
      <c r="CP53" s="8"/>
      <c r="CQ53" s="8"/>
      <c r="CS53" s="14"/>
      <c r="CT53" s="17"/>
      <c r="CU53" s="3"/>
      <c r="CV53" s="4"/>
      <c r="CW53" s="3"/>
      <c r="CX53" s="17"/>
      <c r="CY53" s="17"/>
      <c r="CZ53" s="6"/>
      <c r="DA53" s="3"/>
      <c r="DB53" s="3"/>
      <c r="DC53" s="7"/>
      <c r="DD53" s="8"/>
      <c r="DE53" s="8"/>
      <c r="DF53" s="8"/>
      <c r="DH53" s="14"/>
      <c r="DI53" s="17"/>
      <c r="DJ53" s="3"/>
      <c r="DK53" s="4"/>
      <c r="DL53" s="3"/>
      <c r="DM53" s="17"/>
      <c r="DN53" s="17"/>
      <c r="DO53" s="6"/>
      <c r="DP53" s="3"/>
      <c r="DQ53" s="3"/>
      <c r="DR53" s="7"/>
      <c r="DS53" s="8"/>
      <c r="DT53" s="8"/>
      <c r="DU53" s="8"/>
      <c r="DW53" s="14"/>
      <c r="DX53" s="17"/>
      <c r="DY53" s="3"/>
      <c r="DZ53" s="4"/>
      <c r="EA53" s="3"/>
      <c r="EB53" s="17"/>
      <c r="EC53" s="17"/>
      <c r="ED53" s="6"/>
      <c r="EE53" s="3"/>
      <c r="EF53" s="3"/>
      <c r="EG53" s="7"/>
      <c r="EH53" s="8"/>
      <c r="EI53" s="8"/>
      <c r="EJ53" s="8"/>
      <c r="EL53" s="14"/>
      <c r="EM53" s="17"/>
      <c r="EN53" s="3"/>
      <c r="EO53" s="4"/>
      <c r="EP53" s="3"/>
      <c r="EQ53" s="17"/>
      <c r="ER53" s="17"/>
      <c r="ES53" s="6"/>
      <c r="ET53" s="3"/>
      <c r="EU53" s="3"/>
      <c r="EV53" s="7"/>
      <c r="EW53" s="8"/>
      <c r="EX53" s="8"/>
      <c r="EY53" s="8"/>
      <c r="FA53" s="14"/>
      <c r="FB53" s="17"/>
      <c r="FC53" s="3"/>
      <c r="FD53" s="4"/>
      <c r="FE53" s="3"/>
      <c r="FF53" s="17"/>
      <c r="FG53" s="17"/>
      <c r="FH53" s="6"/>
      <c r="FI53" s="3"/>
      <c r="FJ53" s="3"/>
      <c r="FK53" s="7"/>
      <c r="FL53" s="8"/>
      <c r="FM53" s="8"/>
      <c r="FN53" s="8"/>
      <c r="FP53" s="14"/>
      <c r="FQ53" s="17"/>
      <c r="FR53" s="3"/>
      <c r="FS53" s="4"/>
      <c r="FT53" s="3"/>
      <c r="FU53" s="17"/>
      <c r="FV53" s="17"/>
      <c r="FW53" s="6"/>
      <c r="FX53" s="3"/>
      <c r="FY53" s="3"/>
      <c r="FZ53" s="7"/>
      <c r="GA53" s="8"/>
      <c r="GB53" s="8"/>
      <c r="GC53" s="8"/>
      <c r="GE53" s="14">
        <f t="shared" si="7"/>
        <v>0</v>
      </c>
      <c r="GF53" s="14">
        <f t="shared" si="8"/>
        <v>0</v>
      </c>
      <c r="GG53" s="14">
        <f t="shared" si="9"/>
        <v>0</v>
      </c>
      <c r="GH53" s="4">
        <f t="shared" si="10"/>
        <v>0</v>
      </c>
      <c r="GI53" s="3">
        <f t="shared" si="11"/>
        <v>0</v>
      </c>
      <c r="GJ53" s="3">
        <f t="shared" si="12"/>
        <v>0</v>
      </c>
      <c r="GK53" s="17" t="e">
        <f t="shared" si="13"/>
        <v>#DIV/0!</v>
      </c>
      <c r="GL53" s="4" t="e">
        <f t="shared" si="14"/>
        <v>#DIV/0!</v>
      </c>
      <c r="GM53" s="3" t="e">
        <f t="shared" si="15"/>
        <v>#DIV/0!</v>
      </c>
      <c r="GN53" s="14">
        <f t="shared" si="16"/>
        <v>0</v>
      </c>
      <c r="GO53" s="3">
        <f t="shared" si="17"/>
        <v>0</v>
      </c>
      <c r="GP53" s="35">
        <f t="shared" si="18"/>
        <v>0</v>
      </c>
      <c r="GQ53" s="35">
        <f t="shared" si="19"/>
        <v>0</v>
      </c>
      <c r="GR53" s="35">
        <f t="shared" si="20"/>
        <v>0</v>
      </c>
    </row>
    <row r="54" spans="1:200" x14ac:dyDescent="0.35">
      <c r="A54" s="3" t="s">
        <v>62</v>
      </c>
      <c r="B54" s="2" t="s">
        <v>146</v>
      </c>
      <c r="C54" s="2" t="s">
        <v>84</v>
      </c>
      <c r="D54" s="2" t="s">
        <v>107</v>
      </c>
      <c r="E54" s="3" t="s">
        <v>70</v>
      </c>
      <c r="F54" s="18"/>
      <c r="G54" s="14">
        <v>0</v>
      </c>
      <c r="H54" s="17">
        <v>0</v>
      </c>
      <c r="I54" s="6">
        <v>0</v>
      </c>
      <c r="J54" s="4">
        <f t="shared" si="0"/>
        <v>0</v>
      </c>
      <c r="K54" s="3">
        <v>0</v>
      </c>
      <c r="L54" s="17">
        <v>0</v>
      </c>
      <c r="M54" s="17">
        <f t="shared" si="1"/>
        <v>0</v>
      </c>
      <c r="N54" s="4">
        <f t="shared" si="2"/>
        <v>0</v>
      </c>
      <c r="O54" s="3"/>
      <c r="P54" s="6"/>
      <c r="Q54" s="7"/>
      <c r="R54" s="30">
        <v>0</v>
      </c>
      <c r="S54" s="30">
        <v>0</v>
      </c>
      <c r="T54" s="30">
        <f t="shared" si="3"/>
        <v>0</v>
      </c>
      <c r="V54" s="14">
        <v>0</v>
      </c>
      <c r="W54" s="17">
        <v>0</v>
      </c>
      <c r="X54" s="6">
        <v>0</v>
      </c>
      <c r="Y54" s="4">
        <f t="shared" si="4"/>
        <v>0</v>
      </c>
      <c r="Z54" s="3"/>
      <c r="AA54" s="17">
        <v>0</v>
      </c>
      <c r="AB54" s="17"/>
      <c r="AC54" s="4">
        <f t="shared" si="5"/>
        <v>0</v>
      </c>
      <c r="AD54" s="6" t="s">
        <v>123</v>
      </c>
      <c r="AE54" s="3"/>
      <c r="AF54" s="7">
        <v>0</v>
      </c>
      <c r="AG54" s="30">
        <v>0</v>
      </c>
      <c r="AH54" s="30">
        <v>0</v>
      </c>
      <c r="AI54" s="30">
        <f t="shared" si="6"/>
        <v>0</v>
      </c>
      <c r="AK54" s="14"/>
      <c r="AL54" s="17"/>
      <c r="AM54" s="3"/>
      <c r="AN54" s="4"/>
      <c r="AO54" s="3"/>
      <c r="AP54" s="17"/>
      <c r="AQ54" s="17"/>
      <c r="AR54" s="6"/>
      <c r="AS54" s="3"/>
      <c r="AT54" s="3"/>
      <c r="AU54" s="7"/>
      <c r="AV54" s="8"/>
      <c r="AW54" s="8"/>
      <c r="AX54" s="8"/>
      <c r="AZ54" s="14"/>
      <c r="BA54" s="17"/>
      <c r="BB54" s="3"/>
      <c r="BC54" s="4"/>
      <c r="BD54" s="3"/>
      <c r="BE54" s="17"/>
      <c r="BF54" s="17"/>
      <c r="BG54" s="6"/>
      <c r="BH54" s="3"/>
      <c r="BI54" s="3"/>
      <c r="BJ54" s="7"/>
      <c r="BK54" s="8"/>
      <c r="BL54" s="8"/>
      <c r="BM54" s="8"/>
      <c r="BO54" s="14"/>
      <c r="BP54" s="17"/>
      <c r="BQ54" s="3"/>
      <c r="BR54" s="4"/>
      <c r="BS54" s="3"/>
      <c r="BT54" s="17"/>
      <c r="BU54" s="17"/>
      <c r="BV54" s="6"/>
      <c r="BW54" s="3"/>
      <c r="BX54" s="3"/>
      <c r="BY54" s="7"/>
      <c r="BZ54" s="8"/>
      <c r="CA54" s="8"/>
      <c r="CB54" s="8"/>
      <c r="CD54" s="14"/>
      <c r="CE54" s="17"/>
      <c r="CF54" s="3"/>
      <c r="CG54" s="4"/>
      <c r="CH54" s="3"/>
      <c r="CI54" s="17"/>
      <c r="CJ54" s="17"/>
      <c r="CK54" s="6"/>
      <c r="CL54" s="3"/>
      <c r="CM54" s="3"/>
      <c r="CN54" s="7"/>
      <c r="CO54" s="8"/>
      <c r="CP54" s="8"/>
      <c r="CQ54" s="8"/>
      <c r="CS54" s="14"/>
      <c r="CT54" s="17"/>
      <c r="CU54" s="3"/>
      <c r="CV54" s="4"/>
      <c r="CW54" s="3"/>
      <c r="CX54" s="17"/>
      <c r="CY54" s="17"/>
      <c r="CZ54" s="6"/>
      <c r="DA54" s="3"/>
      <c r="DB54" s="3"/>
      <c r="DC54" s="7"/>
      <c r="DD54" s="8"/>
      <c r="DE54" s="8"/>
      <c r="DF54" s="8"/>
      <c r="DH54" s="14"/>
      <c r="DI54" s="17"/>
      <c r="DJ54" s="3"/>
      <c r="DK54" s="4"/>
      <c r="DL54" s="3"/>
      <c r="DM54" s="17"/>
      <c r="DN54" s="17"/>
      <c r="DO54" s="6"/>
      <c r="DP54" s="3"/>
      <c r="DQ54" s="3"/>
      <c r="DR54" s="7"/>
      <c r="DS54" s="8"/>
      <c r="DT54" s="8"/>
      <c r="DU54" s="8"/>
      <c r="DW54" s="14"/>
      <c r="DX54" s="17"/>
      <c r="DY54" s="3"/>
      <c r="DZ54" s="4"/>
      <c r="EA54" s="3"/>
      <c r="EB54" s="17"/>
      <c r="EC54" s="17"/>
      <c r="ED54" s="6"/>
      <c r="EE54" s="3"/>
      <c r="EF54" s="3"/>
      <c r="EG54" s="7"/>
      <c r="EH54" s="8"/>
      <c r="EI54" s="8"/>
      <c r="EJ54" s="8"/>
      <c r="EL54" s="14"/>
      <c r="EM54" s="17"/>
      <c r="EN54" s="3"/>
      <c r="EO54" s="4"/>
      <c r="EP54" s="3"/>
      <c r="EQ54" s="17"/>
      <c r="ER54" s="17"/>
      <c r="ES54" s="6"/>
      <c r="ET54" s="3"/>
      <c r="EU54" s="3"/>
      <c r="EV54" s="7"/>
      <c r="EW54" s="8"/>
      <c r="EX54" s="8"/>
      <c r="EY54" s="8"/>
      <c r="FA54" s="14"/>
      <c r="FB54" s="17"/>
      <c r="FC54" s="3"/>
      <c r="FD54" s="4"/>
      <c r="FE54" s="3"/>
      <c r="FF54" s="17"/>
      <c r="FG54" s="17"/>
      <c r="FH54" s="6"/>
      <c r="FI54" s="3"/>
      <c r="FJ54" s="3"/>
      <c r="FK54" s="7"/>
      <c r="FL54" s="8"/>
      <c r="FM54" s="8"/>
      <c r="FN54" s="8"/>
      <c r="FP54" s="14"/>
      <c r="FQ54" s="17"/>
      <c r="FR54" s="3"/>
      <c r="FS54" s="4"/>
      <c r="FT54" s="3"/>
      <c r="FU54" s="17"/>
      <c r="FV54" s="17"/>
      <c r="FW54" s="6"/>
      <c r="FX54" s="3"/>
      <c r="FY54" s="3"/>
      <c r="FZ54" s="7"/>
      <c r="GA54" s="8"/>
      <c r="GB54" s="8"/>
      <c r="GC54" s="8"/>
      <c r="GE54" s="14">
        <f t="shared" si="7"/>
        <v>0</v>
      </c>
      <c r="GF54" s="14">
        <f t="shared" si="8"/>
        <v>0</v>
      </c>
      <c r="GG54" s="14">
        <f t="shared" si="9"/>
        <v>0</v>
      </c>
      <c r="GH54" s="4">
        <f t="shared" si="10"/>
        <v>0</v>
      </c>
      <c r="GI54" s="3">
        <f t="shared" si="11"/>
        <v>0</v>
      </c>
      <c r="GJ54" s="3">
        <f t="shared" si="12"/>
        <v>0</v>
      </c>
      <c r="GK54" s="17" t="e">
        <f t="shared" si="13"/>
        <v>#DIV/0!</v>
      </c>
      <c r="GL54" s="4" t="e">
        <f t="shared" si="14"/>
        <v>#DIV/0!</v>
      </c>
      <c r="GM54" s="3" t="e">
        <f t="shared" si="15"/>
        <v>#DIV/0!</v>
      </c>
      <c r="GN54" s="14">
        <f t="shared" si="16"/>
        <v>0</v>
      </c>
      <c r="GO54" s="3">
        <f t="shared" si="17"/>
        <v>0</v>
      </c>
      <c r="GP54" s="35">
        <f t="shared" si="18"/>
        <v>0</v>
      </c>
      <c r="GQ54" s="35">
        <f t="shared" si="19"/>
        <v>0</v>
      </c>
      <c r="GR54" s="35">
        <f t="shared" si="20"/>
        <v>0</v>
      </c>
    </row>
    <row r="55" spans="1:200" x14ac:dyDescent="0.35">
      <c r="A55" s="3" t="s">
        <v>65</v>
      </c>
      <c r="B55" s="2" t="s">
        <v>142</v>
      </c>
      <c r="C55" s="2" t="s">
        <v>127</v>
      </c>
      <c r="D55" s="2" t="s">
        <v>108</v>
      </c>
      <c r="E55" s="3" t="s">
        <v>85</v>
      </c>
      <c r="F55" s="18"/>
      <c r="G55" s="14">
        <v>9.6731800000000003</v>
      </c>
      <c r="H55" s="17">
        <v>9</v>
      </c>
      <c r="I55" s="6">
        <v>-15.258212583699695</v>
      </c>
      <c r="J55" s="4">
        <f t="shared" si="0"/>
        <v>-1.6953569537444106</v>
      </c>
      <c r="K55" s="3">
        <v>105013.90728874327</v>
      </c>
      <c r="L55" s="17">
        <v>23.1</v>
      </c>
      <c r="M55" s="17">
        <f t="shared" si="1"/>
        <v>0</v>
      </c>
      <c r="N55" s="4">
        <f t="shared" si="2"/>
        <v>0</v>
      </c>
      <c r="O55" s="3"/>
      <c r="P55" s="6">
        <f>175000/100000</f>
        <v>1.75</v>
      </c>
      <c r="Q55" s="7">
        <v>0.38961038961038963</v>
      </c>
      <c r="R55" s="30">
        <v>0</v>
      </c>
      <c r="S55" s="30">
        <v>0</v>
      </c>
      <c r="T55" s="30">
        <f t="shared" si="3"/>
        <v>0</v>
      </c>
      <c r="V55" s="14">
        <v>11.291679999999999</v>
      </c>
      <c r="W55" s="17">
        <v>13.9489</v>
      </c>
      <c r="X55" s="6">
        <v>-11.185629923662187</v>
      </c>
      <c r="Y55" s="4">
        <f t="shared" si="4"/>
        <v>-0.80190050281113112</v>
      </c>
      <c r="Z55" s="3">
        <v>102194.38872872146</v>
      </c>
      <c r="AA55" s="17">
        <v>25.1</v>
      </c>
      <c r="AB55" s="17">
        <v>348722.5</v>
      </c>
      <c r="AC55" s="4">
        <f t="shared" si="5"/>
        <v>0.25</v>
      </c>
      <c r="AD55" s="6">
        <v>4.7619047619047616E-2</v>
      </c>
      <c r="AE55" s="3"/>
      <c r="AF55" s="7">
        <v>0.5557330677290836</v>
      </c>
      <c r="AG55" s="30">
        <v>1</v>
      </c>
      <c r="AH55" s="30">
        <v>3</v>
      </c>
      <c r="AI55" s="30">
        <f t="shared" si="6"/>
        <v>4</v>
      </c>
      <c r="AK55" s="14"/>
      <c r="AL55" s="17"/>
      <c r="AM55" s="3"/>
      <c r="AN55" s="4"/>
      <c r="AO55" s="3"/>
      <c r="AP55" s="17"/>
      <c r="AQ55" s="17"/>
      <c r="AR55" s="6"/>
      <c r="AS55" s="3"/>
      <c r="AT55" s="3"/>
      <c r="AU55" s="7"/>
      <c r="AV55" s="8"/>
      <c r="AW55" s="8"/>
      <c r="AX55" s="8"/>
      <c r="AZ55" s="14"/>
      <c r="BA55" s="17"/>
      <c r="BB55" s="3"/>
      <c r="BC55" s="4"/>
      <c r="BD55" s="3"/>
      <c r="BE55" s="17"/>
      <c r="BF55" s="17"/>
      <c r="BG55" s="6"/>
      <c r="BH55" s="3"/>
      <c r="BI55" s="3"/>
      <c r="BJ55" s="7"/>
      <c r="BK55" s="8"/>
      <c r="BL55" s="8"/>
      <c r="BM55" s="8"/>
      <c r="BO55" s="14"/>
      <c r="BP55" s="17"/>
      <c r="BQ55" s="3"/>
      <c r="BR55" s="4"/>
      <c r="BS55" s="3"/>
      <c r="BT55" s="17"/>
      <c r="BU55" s="17"/>
      <c r="BV55" s="6"/>
      <c r="BW55" s="3"/>
      <c r="BX55" s="3"/>
      <c r="BY55" s="7"/>
      <c r="BZ55" s="8"/>
      <c r="CA55" s="8"/>
      <c r="CB55" s="8"/>
      <c r="CD55" s="14"/>
      <c r="CE55" s="17"/>
      <c r="CF55" s="3"/>
      <c r="CG55" s="4"/>
      <c r="CH55" s="3"/>
      <c r="CI55" s="17"/>
      <c r="CJ55" s="17"/>
      <c r="CK55" s="6"/>
      <c r="CL55" s="3"/>
      <c r="CM55" s="3"/>
      <c r="CN55" s="7"/>
      <c r="CO55" s="8"/>
      <c r="CP55" s="8"/>
      <c r="CQ55" s="8"/>
      <c r="CS55" s="14"/>
      <c r="CT55" s="17"/>
      <c r="CU55" s="3"/>
      <c r="CV55" s="4"/>
      <c r="CW55" s="3"/>
      <c r="CX55" s="17"/>
      <c r="CY55" s="17"/>
      <c r="CZ55" s="6"/>
      <c r="DA55" s="3"/>
      <c r="DB55" s="3"/>
      <c r="DC55" s="7"/>
      <c r="DD55" s="8"/>
      <c r="DE55" s="8"/>
      <c r="DF55" s="8"/>
      <c r="DH55" s="14"/>
      <c r="DI55" s="17"/>
      <c r="DJ55" s="3"/>
      <c r="DK55" s="4"/>
      <c r="DL55" s="3"/>
      <c r="DM55" s="17"/>
      <c r="DN55" s="17"/>
      <c r="DO55" s="6"/>
      <c r="DP55" s="3"/>
      <c r="DQ55" s="3"/>
      <c r="DR55" s="7"/>
      <c r="DS55" s="8"/>
      <c r="DT55" s="8"/>
      <c r="DU55" s="8"/>
      <c r="DW55" s="14"/>
      <c r="DX55" s="17"/>
      <c r="DY55" s="3"/>
      <c r="DZ55" s="4"/>
      <c r="EA55" s="3"/>
      <c r="EB55" s="17"/>
      <c r="EC55" s="17"/>
      <c r="ED55" s="6"/>
      <c r="EE55" s="3"/>
      <c r="EF55" s="3"/>
      <c r="EG55" s="7"/>
      <c r="EH55" s="8"/>
      <c r="EI55" s="8"/>
      <c r="EJ55" s="8"/>
      <c r="EL55" s="14"/>
      <c r="EM55" s="17"/>
      <c r="EN55" s="3"/>
      <c r="EO55" s="4"/>
      <c r="EP55" s="3"/>
      <c r="EQ55" s="17"/>
      <c r="ER55" s="17"/>
      <c r="ES55" s="6"/>
      <c r="ET55" s="3"/>
      <c r="EU55" s="3"/>
      <c r="EV55" s="7"/>
      <c r="EW55" s="8"/>
      <c r="EX55" s="8"/>
      <c r="EY55" s="8"/>
      <c r="FA55" s="14"/>
      <c r="FB55" s="17"/>
      <c r="FC55" s="3"/>
      <c r="FD55" s="4"/>
      <c r="FE55" s="3"/>
      <c r="FF55" s="17"/>
      <c r="FG55" s="17"/>
      <c r="FH55" s="6"/>
      <c r="FI55" s="3"/>
      <c r="FJ55" s="3"/>
      <c r="FK55" s="7"/>
      <c r="FL55" s="8"/>
      <c r="FM55" s="8"/>
      <c r="FN55" s="8"/>
      <c r="FP55" s="14"/>
      <c r="FQ55" s="17"/>
      <c r="FR55" s="3"/>
      <c r="FS55" s="4"/>
      <c r="FT55" s="3"/>
      <c r="FU55" s="17"/>
      <c r="FV55" s="17"/>
      <c r="FW55" s="6"/>
      <c r="FX55" s="3"/>
      <c r="FY55" s="3"/>
      <c r="FZ55" s="7"/>
      <c r="GA55" s="8"/>
      <c r="GB55" s="8"/>
      <c r="GC55" s="8"/>
      <c r="GE55" s="14">
        <f t="shared" si="7"/>
        <v>20.964860000000002</v>
      </c>
      <c r="GF55" s="14">
        <f t="shared" si="8"/>
        <v>22.948900000000002</v>
      </c>
      <c r="GG55" s="14">
        <f t="shared" si="9"/>
        <v>-26.443842507361882</v>
      </c>
      <c r="GH55" s="4">
        <f t="shared" si="10"/>
        <v>-1.1522923759902166</v>
      </c>
      <c r="GI55" s="3">
        <f t="shared" si="11"/>
        <v>103604.14800873236</v>
      </c>
      <c r="GJ55" s="3">
        <f t="shared" si="12"/>
        <v>24.1</v>
      </c>
      <c r="GK55" s="17">
        <f t="shared" si="13"/>
        <v>573722.5</v>
      </c>
      <c r="GL55" s="4">
        <f t="shared" si="14"/>
        <v>0.25</v>
      </c>
      <c r="GM55" s="3">
        <f t="shared" si="15"/>
        <v>4.7619047619047616E-2</v>
      </c>
      <c r="GN55" s="14">
        <f t="shared" si="16"/>
        <v>1.75</v>
      </c>
      <c r="GO55" s="3">
        <f t="shared" si="17"/>
        <v>0.47267172866973661</v>
      </c>
      <c r="GP55" s="35">
        <f t="shared" si="18"/>
        <v>1</v>
      </c>
      <c r="GQ55" s="35">
        <f t="shared" si="19"/>
        <v>3</v>
      </c>
      <c r="GR55" s="35">
        <f t="shared" si="20"/>
        <v>4</v>
      </c>
    </row>
    <row r="56" spans="1:200" x14ac:dyDescent="0.35">
      <c r="A56" s="3" t="s">
        <v>122</v>
      </c>
      <c r="B56" s="2" t="s">
        <v>142</v>
      </c>
      <c r="C56" s="2" t="s">
        <v>127</v>
      </c>
      <c r="D56" s="2" t="s">
        <v>108</v>
      </c>
      <c r="E56" s="3" t="s">
        <v>85</v>
      </c>
      <c r="F56" s="18"/>
      <c r="G56" s="14"/>
      <c r="H56" s="17"/>
      <c r="I56" s="6"/>
      <c r="J56" s="4"/>
      <c r="K56" s="3"/>
      <c r="L56" s="17"/>
      <c r="M56" s="17">
        <f t="shared" si="1"/>
        <v>0</v>
      </c>
      <c r="N56" s="4">
        <f t="shared" si="2"/>
        <v>0</v>
      </c>
      <c r="O56" s="3"/>
      <c r="P56" s="6"/>
      <c r="Q56" s="7"/>
      <c r="R56" s="30">
        <v>0</v>
      </c>
      <c r="S56" s="30">
        <v>0</v>
      </c>
      <c r="T56" s="30">
        <f t="shared" si="3"/>
        <v>0</v>
      </c>
      <c r="V56" s="14">
        <v>0</v>
      </c>
      <c r="W56" s="17">
        <v>0.7581</v>
      </c>
      <c r="X56" s="6">
        <v>0.10297834166742433</v>
      </c>
      <c r="Y56" s="4">
        <f t="shared" si="4"/>
        <v>0.13583741151223364</v>
      </c>
      <c r="Z56" s="3"/>
      <c r="AA56" s="17">
        <v>1</v>
      </c>
      <c r="AB56" s="17">
        <v>75810</v>
      </c>
      <c r="AC56" s="4">
        <f t="shared" si="5"/>
        <v>1</v>
      </c>
      <c r="AD56" s="6">
        <v>0</v>
      </c>
      <c r="AE56" s="3"/>
      <c r="AF56" s="7">
        <v>1.4043679643603963</v>
      </c>
      <c r="AG56" s="30">
        <v>1</v>
      </c>
      <c r="AH56" s="30">
        <v>0</v>
      </c>
      <c r="AI56" s="30">
        <f t="shared" si="6"/>
        <v>1</v>
      </c>
      <c r="AK56" s="14"/>
      <c r="AL56" s="17"/>
      <c r="AM56" s="3"/>
      <c r="AN56" s="4"/>
      <c r="AO56" s="3"/>
      <c r="AP56" s="17"/>
      <c r="AQ56" s="17"/>
      <c r="AR56" s="6"/>
      <c r="AS56" s="3"/>
      <c r="AT56" s="3"/>
      <c r="AU56" s="7"/>
      <c r="AV56" s="8"/>
      <c r="AW56" s="8"/>
      <c r="AX56" s="8"/>
      <c r="AZ56" s="14"/>
      <c r="BA56" s="17"/>
      <c r="BB56" s="3"/>
      <c r="BC56" s="4"/>
      <c r="BD56" s="3"/>
      <c r="BE56" s="17"/>
      <c r="BF56" s="17"/>
      <c r="BG56" s="6"/>
      <c r="BH56" s="3"/>
      <c r="BI56" s="3"/>
      <c r="BJ56" s="7"/>
      <c r="BK56" s="8"/>
      <c r="BL56" s="8"/>
      <c r="BM56" s="8"/>
      <c r="BO56" s="14"/>
      <c r="BP56" s="17"/>
      <c r="BQ56" s="3"/>
      <c r="BR56" s="4"/>
      <c r="BS56" s="3"/>
      <c r="BT56" s="17"/>
      <c r="BU56" s="17"/>
      <c r="BV56" s="6"/>
      <c r="BW56" s="3"/>
      <c r="BX56" s="3"/>
      <c r="BY56" s="7"/>
      <c r="BZ56" s="8"/>
      <c r="CA56" s="8"/>
      <c r="CB56" s="8"/>
      <c r="CD56" s="14"/>
      <c r="CE56" s="17"/>
      <c r="CF56" s="3"/>
      <c r="CG56" s="4"/>
      <c r="CH56" s="3"/>
      <c r="CI56" s="17"/>
      <c r="CJ56" s="17"/>
      <c r="CK56" s="6"/>
      <c r="CL56" s="3"/>
      <c r="CM56" s="3"/>
      <c r="CN56" s="7"/>
      <c r="CO56" s="8"/>
      <c r="CP56" s="8"/>
      <c r="CQ56" s="8"/>
      <c r="CS56" s="14"/>
      <c r="CT56" s="17"/>
      <c r="CU56" s="3"/>
      <c r="CV56" s="4"/>
      <c r="CW56" s="3"/>
      <c r="CX56" s="17"/>
      <c r="CY56" s="17"/>
      <c r="CZ56" s="6"/>
      <c r="DA56" s="3"/>
      <c r="DB56" s="3"/>
      <c r="DC56" s="7"/>
      <c r="DD56" s="8"/>
      <c r="DE56" s="8"/>
      <c r="DF56" s="8"/>
      <c r="DH56" s="14"/>
      <c r="DI56" s="17"/>
      <c r="DJ56" s="3"/>
      <c r="DK56" s="4"/>
      <c r="DL56" s="3"/>
      <c r="DM56" s="17"/>
      <c r="DN56" s="17"/>
      <c r="DO56" s="6"/>
      <c r="DP56" s="3"/>
      <c r="DQ56" s="3"/>
      <c r="DR56" s="7"/>
      <c r="DS56" s="8"/>
      <c r="DT56" s="8"/>
      <c r="DU56" s="8"/>
      <c r="DW56" s="14"/>
      <c r="DX56" s="17"/>
      <c r="DY56" s="3"/>
      <c r="DZ56" s="4"/>
      <c r="EA56" s="3"/>
      <c r="EB56" s="17"/>
      <c r="EC56" s="17"/>
      <c r="ED56" s="6"/>
      <c r="EE56" s="3"/>
      <c r="EF56" s="3"/>
      <c r="EG56" s="7"/>
      <c r="EH56" s="8"/>
      <c r="EI56" s="8"/>
      <c r="EJ56" s="8"/>
      <c r="EL56" s="14"/>
      <c r="EM56" s="17"/>
      <c r="EN56" s="3"/>
      <c r="EO56" s="4"/>
      <c r="EP56" s="3"/>
      <c r="EQ56" s="17"/>
      <c r="ER56" s="17"/>
      <c r="ES56" s="6"/>
      <c r="ET56" s="3"/>
      <c r="EU56" s="3"/>
      <c r="EV56" s="7"/>
      <c r="EW56" s="8"/>
      <c r="EX56" s="8"/>
      <c r="EY56" s="8"/>
      <c r="FA56" s="14"/>
      <c r="FB56" s="17"/>
      <c r="FC56" s="3"/>
      <c r="FD56" s="4"/>
      <c r="FE56" s="3"/>
      <c r="FF56" s="17"/>
      <c r="FG56" s="17"/>
      <c r="FH56" s="6"/>
      <c r="FI56" s="3"/>
      <c r="FJ56" s="3"/>
      <c r="FK56" s="7"/>
      <c r="FL56" s="8"/>
      <c r="FM56" s="8"/>
      <c r="FN56" s="8"/>
      <c r="FP56" s="14"/>
      <c r="FQ56" s="17"/>
      <c r="FR56" s="3"/>
      <c r="FS56" s="4"/>
      <c r="FT56" s="3"/>
      <c r="FU56" s="17"/>
      <c r="FV56" s="17"/>
      <c r="FW56" s="6"/>
      <c r="FX56" s="3"/>
      <c r="FY56" s="3"/>
      <c r="FZ56" s="7"/>
      <c r="GA56" s="8"/>
      <c r="GB56" s="8"/>
      <c r="GC56" s="8"/>
      <c r="GE56" s="14">
        <f t="shared" si="7"/>
        <v>0</v>
      </c>
      <c r="GF56" s="14">
        <f t="shared" si="8"/>
        <v>0.7581</v>
      </c>
      <c r="GG56" s="14">
        <f t="shared" si="9"/>
        <v>0.10297834166742433</v>
      </c>
      <c r="GH56" s="4">
        <f t="shared" si="10"/>
        <v>0.13583741151223364</v>
      </c>
      <c r="GI56" s="3" t="e">
        <f t="shared" si="11"/>
        <v>#DIV/0!</v>
      </c>
      <c r="GJ56" s="3">
        <f t="shared" si="12"/>
        <v>1</v>
      </c>
      <c r="GK56" s="17">
        <f t="shared" si="13"/>
        <v>75810</v>
      </c>
      <c r="GL56" s="4">
        <f t="shared" si="14"/>
        <v>1</v>
      </c>
      <c r="GM56" s="3">
        <f t="shared" si="15"/>
        <v>0</v>
      </c>
      <c r="GN56" s="14">
        <f t="shared" si="16"/>
        <v>0</v>
      </c>
      <c r="GO56" s="3">
        <f t="shared" si="17"/>
        <v>1.4043679643603963</v>
      </c>
      <c r="GP56" s="35">
        <f t="shared" si="18"/>
        <v>1</v>
      </c>
      <c r="GQ56" s="35">
        <f t="shared" si="19"/>
        <v>0</v>
      </c>
      <c r="GR56" s="35">
        <f t="shared" si="20"/>
        <v>1</v>
      </c>
    </row>
    <row r="57" spans="1:200" x14ac:dyDescent="0.35">
      <c r="A57" s="3" t="s">
        <v>66</v>
      </c>
      <c r="B57" s="2" t="s">
        <v>143</v>
      </c>
      <c r="C57" s="2" t="s">
        <v>143</v>
      </c>
      <c r="D57" s="2" t="s">
        <v>107</v>
      </c>
      <c r="E57" s="3" t="s">
        <v>66</v>
      </c>
      <c r="F57" s="18"/>
      <c r="G57" s="14">
        <v>6.3891</v>
      </c>
      <c r="H57" s="17">
        <v>2.9410600000000002</v>
      </c>
      <c r="I57" s="6">
        <v>0.97238000000000002</v>
      </c>
      <c r="J57" s="4">
        <f t="shared" si="0"/>
        <v>0.33062229264278864</v>
      </c>
      <c r="K57" s="3">
        <v>82908</v>
      </c>
      <c r="L57" s="17">
        <v>2.4</v>
      </c>
      <c r="M57" s="17">
        <f t="shared" si="1"/>
        <v>0</v>
      </c>
      <c r="N57" s="4">
        <f t="shared" si="2"/>
        <v>0</v>
      </c>
      <c r="O57" s="3"/>
      <c r="P57" s="6"/>
      <c r="Q57" s="7"/>
      <c r="R57" s="30">
        <v>0</v>
      </c>
      <c r="S57" s="30">
        <v>0</v>
      </c>
      <c r="T57" s="30">
        <f t="shared" si="3"/>
        <v>0</v>
      </c>
      <c r="V57" s="14">
        <v>23.275400000000001</v>
      </c>
      <c r="W57" s="17">
        <v>-0.69000000000000006</v>
      </c>
      <c r="X57" s="6">
        <v>-2.0162399999999998</v>
      </c>
      <c r="Y57" s="4">
        <f t="shared" si="4"/>
        <v>2.9220869565217384</v>
      </c>
      <c r="Z57" s="3">
        <v>58556.88339256138</v>
      </c>
      <c r="AA57" s="17">
        <v>2.2999999999999998</v>
      </c>
      <c r="AB57" s="17"/>
      <c r="AC57" s="4">
        <f t="shared" si="5"/>
        <v>0</v>
      </c>
      <c r="AD57" s="6">
        <v>0</v>
      </c>
      <c r="AE57" s="3">
        <f>83000/100000</f>
        <v>0.83</v>
      </c>
      <c r="AF57" s="7">
        <v>0.58556883392561376</v>
      </c>
      <c r="AG57" s="30">
        <v>0</v>
      </c>
      <c r="AH57" s="30">
        <v>0</v>
      </c>
      <c r="AI57" s="30">
        <f t="shared" si="6"/>
        <v>0</v>
      </c>
      <c r="AK57" s="14"/>
      <c r="AL57" s="17"/>
      <c r="AM57" s="3"/>
      <c r="AN57" s="4"/>
      <c r="AO57" s="3"/>
      <c r="AP57" s="17"/>
      <c r="AQ57" s="17"/>
      <c r="AR57" s="6"/>
      <c r="AS57" s="3"/>
      <c r="AT57" s="3"/>
      <c r="AU57" s="7"/>
      <c r="AV57" s="8"/>
      <c r="AW57" s="8"/>
      <c r="AX57" s="8"/>
      <c r="AZ57" s="14"/>
      <c r="BA57" s="17"/>
      <c r="BB57" s="3"/>
      <c r="BC57" s="4"/>
      <c r="BD57" s="3"/>
      <c r="BE57" s="17"/>
      <c r="BF57" s="17"/>
      <c r="BG57" s="6"/>
      <c r="BH57" s="3"/>
      <c r="BI57" s="3"/>
      <c r="BJ57" s="7"/>
      <c r="BK57" s="8"/>
      <c r="BL57" s="8"/>
      <c r="BM57" s="8"/>
      <c r="BO57" s="14"/>
      <c r="BP57" s="17"/>
      <c r="BQ57" s="3"/>
      <c r="BR57" s="4"/>
      <c r="BS57" s="3"/>
      <c r="BT57" s="17"/>
      <c r="BU57" s="17"/>
      <c r="BV57" s="6"/>
      <c r="BW57" s="3"/>
      <c r="BX57" s="3"/>
      <c r="BY57" s="7"/>
      <c r="BZ57" s="8"/>
      <c r="CA57" s="8"/>
      <c r="CB57" s="8"/>
      <c r="CD57" s="14"/>
      <c r="CE57" s="17"/>
      <c r="CF57" s="3"/>
      <c r="CG57" s="4"/>
      <c r="CH57" s="3"/>
      <c r="CI57" s="17"/>
      <c r="CJ57" s="17"/>
      <c r="CK57" s="6"/>
      <c r="CL57" s="3"/>
      <c r="CM57" s="3"/>
      <c r="CN57" s="7"/>
      <c r="CO57" s="8"/>
      <c r="CP57" s="8"/>
      <c r="CQ57" s="8"/>
      <c r="CS57" s="14"/>
      <c r="CT57" s="17"/>
      <c r="CU57" s="3"/>
      <c r="CV57" s="4"/>
      <c r="CW57" s="3"/>
      <c r="CX57" s="17"/>
      <c r="CY57" s="17"/>
      <c r="CZ57" s="6"/>
      <c r="DA57" s="3"/>
      <c r="DB57" s="3"/>
      <c r="DC57" s="7"/>
      <c r="DD57" s="8"/>
      <c r="DE57" s="8"/>
      <c r="DF57" s="8"/>
      <c r="DH57" s="14"/>
      <c r="DI57" s="17"/>
      <c r="DJ57" s="3"/>
      <c r="DK57" s="4"/>
      <c r="DL57" s="3"/>
      <c r="DM57" s="17"/>
      <c r="DN57" s="17"/>
      <c r="DO57" s="6"/>
      <c r="DP57" s="3"/>
      <c r="DQ57" s="3"/>
      <c r="DR57" s="7"/>
      <c r="DS57" s="8"/>
      <c r="DT57" s="8"/>
      <c r="DU57" s="8"/>
      <c r="DW57" s="14"/>
      <c r="DX57" s="17"/>
      <c r="DY57" s="3"/>
      <c r="DZ57" s="4"/>
      <c r="EA57" s="3"/>
      <c r="EB57" s="17"/>
      <c r="EC57" s="17"/>
      <c r="ED57" s="6"/>
      <c r="EE57" s="3"/>
      <c r="EF57" s="3"/>
      <c r="EG57" s="7"/>
      <c r="EH57" s="8"/>
      <c r="EI57" s="8"/>
      <c r="EJ57" s="8"/>
      <c r="EL57" s="14"/>
      <c r="EM57" s="17"/>
      <c r="EN57" s="3"/>
      <c r="EO57" s="4"/>
      <c r="EP57" s="3"/>
      <c r="EQ57" s="17"/>
      <c r="ER57" s="17"/>
      <c r="ES57" s="6"/>
      <c r="ET57" s="3"/>
      <c r="EU57" s="3"/>
      <c r="EV57" s="7"/>
      <c r="EW57" s="8"/>
      <c r="EX57" s="8"/>
      <c r="EY57" s="8"/>
      <c r="FA57" s="14"/>
      <c r="FB57" s="17"/>
      <c r="FC57" s="3"/>
      <c r="FD57" s="4"/>
      <c r="FE57" s="3"/>
      <c r="FF57" s="17"/>
      <c r="FG57" s="17"/>
      <c r="FH57" s="6"/>
      <c r="FI57" s="3"/>
      <c r="FJ57" s="3"/>
      <c r="FK57" s="7"/>
      <c r="FL57" s="8"/>
      <c r="FM57" s="8"/>
      <c r="FN57" s="8"/>
      <c r="FP57" s="14"/>
      <c r="FQ57" s="17"/>
      <c r="FR57" s="3"/>
      <c r="FS57" s="4"/>
      <c r="FT57" s="3"/>
      <c r="FU57" s="17"/>
      <c r="FV57" s="17"/>
      <c r="FW57" s="6"/>
      <c r="FX57" s="3"/>
      <c r="FY57" s="3"/>
      <c r="FZ57" s="7"/>
      <c r="GA57" s="8"/>
      <c r="GB57" s="8"/>
      <c r="GC57" s="8"/>
      <c r="GE57" s="14">
        <f t="shared" si="7"/>
        <v>29.6645</v>
      </c>
      <c r="GF57" s="14">
        <f t="shared" si="8"/>
        <v>2.2510600000000003</v>
      </c>
      <c r="GG57" s="14">
        <f t="shared" si="9"/>
        <v>-1.0438599999999998</v>
      </c>
      <c r="GH57" s="4">
        <f t="shared" si="10"/>
        <v>-0.46371931445630044</v>
      </c>
      <c r="GI57" s="3">
        <f t="shared" si="11"/>
        <v>70732.441696280686</v>
      </c>
      <c r="GJ57" s="3">
        <f t="shared" si="12"/>
        <v>2.3499999999999996</v>
      </c>
      <c r="GK57" s="17" t="e">
        <f t="shared" si="13"/>
        <v>#DIV/0!</v>
      </c>
      <c r="GL57" s="4" t="e">
        <f t="shared" si="14"/>
        <v>#DIV/0!</v>
      </c>
      <c r="GM57" s="3">
        <f t="shared" si="15"/>
        <v>0</v>
      </c>
      <c r="GN57" s="14">
        <f t="shared" si="16"/>
        <v>0.83</v>
      </c>
      <c r="GO57" s="3">
        <f t="shared" si="17"/>
        <v>0.58556883392561376</v>
      </c>
      <c r="GP57" s="35">
        <f t="shared" si="18"/>
        <v>0</v>
      </c>
      <c r="GQ57" s="35">
        <f t="shared" si="19"/>
        <v>0</v>
      </c>
      <c r="GR57" s="35">
        <f t="shared" si="20"/>
        <v>0</v>
      </c>
    </row>
    <row r="58" spans="1:200" x14ac:dyDescent="0.35">
      <c r="A58" s="3" t="s">
        <v>67</v>
      </c>
      <c r="B58" s="2" t="s">
        <v>147</v>
      </c>
      <c r="C58" s="2" t="s">
        <v>147</v>
      </c>
      <c r="D58" s="2" t="s">
        <v>107</v>
      </c>
      <c r="E58" s="3" t="s">
        <v>67</v>
      </c>
      <c r="F58" s="18"/>
      <c r="G58" s="14">
        <v>4.165</v>
      </c>
      <c r="H58" s="17">
        <v>0</v>
      </c>
      <c r="I58" s="6">
        <v>-0.66493132707975189</v>
      </c>
      <c r="J58" s="4">
        <f t="shared" si="0"/>
        <v>0</v>
      </c>
      <c r="K58" s="3">
        <v>221643.77569325065</v>
      </c>
      <c r="L58" s="17">
        <v>0.3</v>
      </c>
      <c r="M58" s="17">
        <f t="shared" si="1"/>
        <v>0</v>
      </c>
      <c r="N58" s="4">
        <f t="shared" si="2"/>
        <v>0</v>
      </c>
      <c r="O58" s="3"/>
      <c r="P58" s="6"/>
      <c r="Q58" s="7"/>
      <c r="R58" s="30">
        <v>0</v>
      </c>
      <c r="S58" s="30">
        <v>0</v>
      </c>
      <c r="T58" s="30">
        <f t="shared" si="3"/>
        <v>0</v>
      </c>
      <c r="V58" s="14">
        <v>5.2478999999999996</v>
      </c>
      <c r="W58" s="17">
        <v>0</v>
      </c>
      <c r="X58" s="6">
        <v>-1.4081373823651291</v>
      </c>
      <c r="Y58" s="4">
        <f t="shared" si="4"/>
        <v>0</v>
      </c>
      <c r="Z58" s="3">
        <v>174684.79643603961</v>
      </c>
      <c r="AA58" s="17">
        <v>1</v>
      </c>
      <c r="AB58" s="17"/>
      <c r="AC58" s="4">
        <f t="shared" si="5"/>
        <v>0</v>
      </c>
      <c r="AD58" s="6"/>
      <c r="AE58" s="3"/>
      <c r="AF58" s="7">
        <v>0</v>
      </c>
      <c r="AG58" s="30"/>
      <c r="AH58" s="30">
        <v>0</v>
      </c>
      <c r="AI58" s="30">
        <f t="shared" si="6"/>
        <v>0</v>
      </c>
      <c r="AK58" s="14"/>
      <c r="AL58" s="17"/>
      <c r="AM58" s="3"/>
      <c r="AN58" s="4"/>
      <c r="AO58" s="3"/>
      <c r="AP58" s="17"/>
      <c r="AQ58" s="17"/>
      <c r="AR58" s="6"/>
      <c r="AS58" s="3"/>
      <c r="AT58" s="3"/>
      <c r="AU58" s="7"/>
      <c r="AV58" s="8"/>
      <c r="AW58" s="8"/>
      <c r="AX58" s="8"/>
      <c r="AZ58" s="14"/>
      <c r="BA58" s="17"/>
      <c r="BB58" s="3"/>
      <c r="BC58" s="4"/>
      <c r="BD58" s="3"/>
      <c r="BE58" s="17"/>
      <c r="BF58" s="17"/>
      <c r="BG58" s="6"/>
      <c r="BH58" s="3"/>
      <c r="BI58" s="3"/>
      <c r="BJ58" s="7"/>
      <c r="BK58" s="8"/>
      <c r="BL58" s="8"/>
      <c r="BM58" s="8"/>
      <c r="BO58" s="14"/>
      <c r="BP58" s="17"/>
      <c r="BQ58" s="3"/>
      <c r="BR58" s="4"/>
      <c r="BS58" s="3"/>
      <c r="BT58" s="17"/>
      <c r="BU58" s="17"/>
      <c r="BV58" s="6"/>
      <c r="BW58" s="3"/>
      <c r="BX58" s="3"/>
      <c r="BY58" s="7"/>
      <c r="BZ58" s="8"/>
      <c r="CA58" s="8"/>
      <c r="CB58" s="8"/>
      <c r="CD58" s="14"/>
      <c r="CE58" s="17"/>
      <c r="CF58" s="3"/>
      <c r="CG58" s="4"/>
      <c r="CH58" s="3"/>
      <c r="CI58" s="17"/>
      <c r="CJ58" s="17"/>
      <c r="CK58" s="6"/>
      <c r="CL58" s="3"/>
      <c r="CM58" s="3"/>
      <c r="CN58" s="7"/>
      <c r="CO58" s="8"/>
      <c r="CP58" s="8"/>
      <c r="CQ58" s="8"/>
      <c r="CS58" s="14"/>
      <c r="CT58" s="17"/>
      <c r="CU58" s="3"/>
      <c r="CV58" s="4"/>
      <c r="CW58" s="3"/>
      <c r="CX58" s="17"/>
      <c r="CY58" s="17"/>
      <c r="CZ58" s="6"/>
      <c r="DA58" s="3"/>
      <c r="DB58" s="3"/>
      <c r="DC58" s="7"/>
      <c r="DD58" s="8"/>
      <c r="DE58" s="8"/>
      <c r="DF58" s="8"/>
      <c r="DH58" s="14"/>
      <c r="DI58" s="17"/>
      <c r="DJ58" s="3"/>
      <c r="DK58" s="4"/>
      <c r="DL58" s="3"/>
      <c r="DM58" s="17"/>
      <c r="DN58" s="17"/>
      <c r="DO58" s="6"/>
      <c r="DP58" s="3"/>
      <c r="DQ58" s="3"/>
      <c r="DR58" s="7"/>
      <c r="DS58" s="8"/>
      <c r="DT58" s="8"/>
      <c r="DU58" s="8"/>
      <c r="DW58" s="14"/>
      <c r="DX58" s="17"/>
      <c r="DY58" s="3"/>
      <c r="DZ58" s="4"/>
      <c r="EA58" s="3"/>
      <c r="EB58" s="17"/>
      <c r="EC58" s="17"/>
      <c r="ED58" s="6"/>
      <c r="EE58" s="3"/>
      <c r="EF58" s="3"/>
      <c r="EG58" s="7"/>
      <c r="EH58" s="8"/>
      <c r="EI58" s="8"/>
      <c r="EJ58" s="8"/>
      <c r="EL58" s="14"/>
      <c r="EM58" s="17"/>
      <c r="EN58" s="3"/>
      <c r="EO58" s="4"/>
      <c r="EP58" s="3"/>
      <c r="EQ58" s="17"/>
      <c r="ER58" s="17"/>
      <c r="ES58" s="6"/>
      <c r="ET58" s="3"/>
      <c r="EU58" s="3"/>
      <c r="EV58" s="7"/>
      <c r="EW58" s="8"/>
      <c r="EX58" s="8"/>
      <c r="EY58" s="8"/>
      <c r="FA58" s="14"/>
      <c r="FB58" s="17"/>
      <c r="FC58" s="3"/>
      <c r="FD58" s="4"/>
      <c r="FE58" s="3"/>
      <c r="FF58" s="17"/>
      <c r="FG58" s="17"/>
      <c r="FH58" s="6"/>
      <c r="FI58" s="3"/>
      <c r="FJ58" s="3"/>
      <c r="FK58" s="7"/>
      <c r="FL58" s="8"/>
      <c r="FM58" s="8"/>
      <c r="FN58" s="8"/>
      <c r="FP58" s="14"/>
      <c r="FQ58" s="17"/>
      <c r="FR58" s="3"/>
      <c r="FS58" s="4"/>
      <c r="FT58" s="3"/>
      <c r="FU58" s="17"/>
      <c r="FV58" s="17"/>
      <c r="FW58" s="6"/>
      <c r="FX58" s="3"/>
      <c r="FY58" s="3"/>
      <c r="FZ58" s="7"/>
      <c r="GA58" s="8"/>
      <c r="GB58" s="8"/>
      <c r="GC58" s="8"/>
      <c r="GE58" s="14">
        <f t="shared" si="7"/>
        <v>9.4129000000000005</v>
      </c>
      <c r="GF58" s="14">
        <f t="shared" si="8"/>
        <v>0</v>
      </c>
      <c r="GG58" s="14">
        <f t="shared" si="9"/>
        <v>-2.0730687094448808</v>
      </c>
      <c r="GH58" s="4">
        <f t="shared" si="10"/>
        <v>0</v>
      </c>
      <c r="GI58" s="3">
        <f t="shared" si="11"/>
        <v>198164.28606464513</v>
      </c>
      <c r="GJ58" s="3">
        <f t="shared" si="12"/>
        <v>0.65</v>
      </c>
      <c r="GK58" s="17" t="e">
        <f t="shared" si="13"/>
        <v>#DIV/0!</v>
      </c>
      <c r="GL58" s="4" t="e">
        <f t="shared" si="14"/>
        <v>#DIV/0!</v>
      </c>
      <c r="GM58" s="3" t="e">
        <f t="shared" si="15"/>
        <v>#DIV/0!</v>
      </c>
      <c r="GN58" s="14">
        <f t="shared" si="16"/>
        <v>0</v>
      </c>
      <c r="GO58" s="3">
        <f t="shared" si="17"/>
        <v>0</v>
      </c>
      <c r="GP58" s="35">
        <f t="shared" si="18"/>
        <v>0</v>
      </c>
      <c r="GQ58" s="35">
        <f t="shared" si="19"/>
        <v>0</v>
      </c>
      <c r="GR58" s="35">
        <f t="shared" si="20"/>
        <v>0</v>
      </c>
    </row>
    <row r="59" spans="1:200" x14ac:dyDescent="0.35">
      <c r="A59" s="16" t="s">
        <v>86</v>
      </c>
      <c r="B59" s="2" t="s">
        <v>142</v>
      </c>
      <c r="C59" s="2" t="s">
        <v>83</v>
      </c>
      <c r="D59" s="2" t="s">
        <v>108</v>
      </c>
      <c r="E59" s="16" t="s">
        <v>2</v>
      </c>
      <c r="F59" s="18"/>
      <c r="G59" s="14">
        <v>0</v>
      </c>
      <c r="H59" s="17">
        <v>0</v>
      </c>
      <c r="I59" s="6">
        <v>-1.6967321492637717</v>
      </c>
      <c r="J59" s="4">
        <f t="shared" si="0"/>
        <v>0</v>
      </c>
      <c r="K59" s="3">
        <v>48478.061407536334</v>
      </c>
      <c r="L59" s="17">
        <v>3.5</v>
      </c>
      <c r="M59" s="17">
        <f t="shared" si="1"/>
        <v>0</v>
      </c>
      <c r="N59" s="4">
        <f t="shared" si="2"/>
        <v>0</v>
      </c>
      <c r="O59" s="3"/>
      <c r="P59" s="6"/>
      <c r="Q59" s="7"/>
      <c r="R59" s="30">
        <v>0</v>
      </c>
      <c r="S59" s="30">
        <v>0</v>
      </c>
      <c r="T59" s="30">
        <f t="shared" si="3"/>
        <v>0</v>
      </c>
      <c r="V59" s="14">
        <v>0</v>
      </c>
      <c r="W59" s="17">
        <v>2</v>
      </c>
      <c r="X59" s="6">
        <v>-1.4334240331603445</v>
      </c>
      <c r="Y59" s="4">
        <f t="shared" si="4"/>
        <v>-0.71671201658017225</v>
      </c>
      <c r="Z59" s="3">
        <v>95323.546436039644</v>
      </c>
      <c r="AA59" s="17">
        <v>4</v>
      </c>
      <c r="AB59" s="17"/>
      <c r="AC59" s="4">
        <f t="shared" si="5"/>
        <v>0</v>
      </c>
      <c r="AD59" s="6">
        <v>0</v>
      </c>
      <c r="AE59" s="3">
        <v>2</v>
      </c>
      <c r="AF59" s="7">
        <v>0.95323546436039641</v>
      </c>
      <c r="AG59" s="30">
        <v>0</v>
      </c>
      <c r="AH59" s="30">
        <v>0</v>
      </c>
      <c r="AI59" s="30">
        <f t="shared" si="6"/>
        <v>0</v>
      </c>
      <c r="AK59" s="14"/>
      <c r="AL59" s="17"/>
      <c r="AM59" s="3"/>
      <c r="AN59" s="4"/>
      <c r="AO59" s="3"/>
      <c r="AP59" s="17"/>
      <c r="AQ59" s="17"/>
      <c r="AR59" s="6"/>
      <c r="AS59" s="3"/>
      <c r="AT59" s="3"/>
      <c r="AU59" s="7"/>
      <c r="AV59" s="8"/>
      <c r="AW59" s="8"/>
      <c r="AX59" s="8"/>
      <c r="AZ59" s="14"/>
      <c r="BA59" s="17"/>
      <c r="BB59" s="3"/>
      <c r="BC59" s="4"/>
      <c r="BD59" s="3"/>
      <c r="BE59" s="17"/>
      <c r="BF59" s="17"/>
      <c r="BG59" s="6"/>
      <c r="BH59" s="3"/>
      <c r="BI59" s="3"/>
      <c r="BJ59" s="7"/>
      <c r="BK59" s="8"/>
      <c r="BL59" s="8"/>
      <c r="BM59" s="8"/>
      <c r="BO59" s="14"/>
      <c r="BP59" s="17"/>
      <c r="BQ59" s="3"/>
      <c r="BR59" s="4"/>
      <c r="BS59" s="3"/>
      <c r="BT59" s="17"/>
      <c r="BU59" s="17"/>
      <c r="BV59" s="6"/>
      <c r="BW59" s="3"/>
      <c r="BX59" s="3"/>
      <c r="BY59" s="7"/>
      <c r="BZ59" s="8"/>
      <c r="CA59" s="8"/>
      <c r="CB59" s="8"/>
      <c r="CD59" s="14"/>
      <c r="CE59" s="17"/>
      <c r="CF59" s="3"/>
      <c r="CG59" s="4"/>
      <c r="CH59" s="3"/>
      <c r="CI59" s="17"/>
      <c r="CJ59" s="17"/>
      <c r="CK59" s="6"/>
      <c r="CL59" s="3"/>
      <c r="CM59" s="3"/>
      <c r="CN59" s="7"/>
      <c r="CO59" s="8"/>
      <c r="CP59" s="8"/>
      <c r="CQ59" s="8"/>
      <c r="CS59" s="14"/>
      <c r="CT59" s="17"/>
      <c r="CU59" s="3"/>
      <c r="CV59" s="4"/>
      <c r="CW59" s="3"/>
      <c r="CX59" s="17"/>
      <c r="CY59" s="17"/>
      <c r="CZ59" s="6"/>
      <c r="DA59" s="3"/>
      <c r="DB59" s="3"/>
      <c r="DC59" s="7"/>
      <c r="DD59" s="8"/>
      <c r="DE59" s="8"/>
      <c r="DF59" s="8"/>
      <c r="DH59" s="14"/>
      <c r="DI59" s="17"/>
      <c r="DJ59" s="3"/>
      <c r="DK59" s="4"/>
      <c r="DL59" s="3"/>
      <c r="DM59" s="17"/>
      <c r="DN59" s="17"/>
      <c r="DO59" s="6"/>
      <c r="DP59" s="3"/>
      <c r="DQ59" s="3"/>
      <c r="DR59" s="7"/>
      <c r="DS59" s="8"/>
      <c r="DT59" s="8"/>
      <c r="DU59" s="8"/>
      <c r="DW59" s="14"/>
      <c r="DX59" s="17"/>
      <c r="DY59" s="3"/>
      <c r="DZ59" s="4"/>
      <c r="EA59" s="3"/>
      <c r="EB59" s="17"/>
      <c r="EC59" s="17"/>
      <c r="ED59" s="6"/>
      <c r="EE59" s="3"/>
      <c r="EF59" s="3"/>
      <c r="EG59" s="7"/>
      <c r="EH59" s="8"/>
      <c r="EI59" s="8"/>
      <c r="EJ59" s="8"/>
      <c r="EL59" s="14"/>
      <c r="EM59" s="17"/>
      <c r="EN59" s="3"/>
      <c r="EO59" s="4"/>
      <c r="EP59" s="3"/>
      <c r="EQ59" s="17"/>
      <c r="ER59" s="17"/>
      <c r="ES59" s="6"/>
      <c r="ET59" s="3"/>
      <c r="EU59" s="3"/>
      <c r="EV59" s="7"/>
      <c r="EW59" s="8"/>
      <c r="EX59" s="8"/>
      <c r="EY59" s="8"/>
      <c r="FA59" s="14"/>
      <c r="FB59" s="17"/>
      <c r="FC59" s="3"/>
      <c r="FD59" s="4"/>
      <c r="FE59" s="3"/>
      <c r="FF59" s="17"/>
      <c r="FG59" s="17"/>
      <c r="FH59" s="6"/>
      <c r="FI59" s="3"/>
      <c r="FJ59" s="3"/>
      <c r="FK59" s="7"/>
      <c r="FL59" s="8"/>
      <c r="FM59" s="8"/>
      <c r="FN59" s="8"/>
      <c r="FP59" s="14"/>
      <c r="FQ59" s="17"/>
      <c r="FR59" s="3"/>
      <c r="FS59" s="4"/>
      <c r="FT59" s="3"/>
      <c r="FU59" s="17"/>
      <c r="FV59" s="17"/>
      <c r="FW59" s="6"/>
      <c r="FX59" s="3"/>
      <c r="FY59" s="3"/>
      <c r="FZ59" s="7"/>
      <c r="GA59" s="8"/>
      <c r="GB59" s="8"/>
      <c r="GC59" s="8"/>
      <c r="GE59" s="14">
        <f t="shared" si="7"/>
        <v>0</v>
      </c>
      <c r="GF59" s="14">
        <f t="shared" si="8"/>
        <v>2</v>
      </c>
      <c r="GG59" s="14">
        <f t="shared" si="9"/>
        <v>-3.1301561824241162</v>
      </c>
      <c r="GH59" s="4">
        <f t="shared" si="10"/>
        <v>-1.5650780912120581</v>
      </c>
      <c r="GI59" s="3">
        <f t="shared" si="11"/>
        <v>71900.803921787985</v>
      </c>
      <c r="GJ59" s="3">
        <f t="shared" si="12"/>
        <v>3.75</v>
      </c>
      <c r="GK59" s="17" t="e">
        <f t="shared" si="13"/>
        <v>#DIV/0!</v>
      </c>
      <c r="GL59" s="4" t="e">
        <f t="shared" si="14"/>
        <v>#DIV/0!</v>
      </c>
      <c r="GM59" s="3">
        <f t="shared" si="15"/>
        <v>0</v>
      </c>
      <c r="GN59" s="14">
        <f t="shared" si="16"/>
        <v>2</v>
      </c>
      <c r="GO59" s="3">
        <f t="shared" si="17"/>
        <v>0.95323546436039641</v>
      </c>
      <c r="GP59" s="35">
        <f t="shared" si="18"/>
        <v>0</v>
      </c>
      <c r="GQ59" s="35">
        <f t="shared" si="19"/>
        <v>0</v>
      </c>
      <c r="GR59" s="35">
        <f t="shared" si="20"/>
        <v>0</v>
      </c>
    </row>
    <row r="60" spans="1:200" x14ac:dyDescent="0.35">
      <c r="A60" s="16" t="s">
        <v>87</v>
      </c>
      <c r="B60" s="2" t="s">
        <v>142</v>
      </c>
      <c r="C60" s="2" t="s">
        <v>83</v>
      </c>
      <c r="D60" s="2" t="s">
        <v>108</v>
      </c>
      <c r="E60" s="16" t="s">
        <v>2</v>
      </c>
      <c r="F60" s="18"/>
      <c r="G60" s="14">
        <v>0</v>
      </c>
      <c r="H60" s="17">
        <v>1.75</v>
      </c>
      <c r="I60" s="6">
        <v>-8.140418678526061E-2</v>
      </c>
      <c r="J60" s="4">
        <f t="shared" si="0"/>
        <v>-4.6516678163006066E-2</v>
      </c>
      <c r="K60" s="3">
        <v>107729.65804619181</v>
      </c>
      <c r="L60" s="17">
        <v>1.7</v>
      </c>
      <c r="M60" s="17">
        <f t="shared" si="1"/>
        <v>0</v>
      </c>
      <c r="N60" s="4">
        <f t="shared" si="2"/>
        <v>0</v>
      </c>
      <c r="O60" s="3"/>
      <c r="P60" s="6"/>
      <c r="Q60" s="7">
        <v>1.0294117647058825</v>
      </c>
      <c r="R60" s="30">
        <v>0</v>
      </c>
      <c r="S60" s="30">
        <v>0</v>
      </c>
      <c r="T60" s="30">
        <f t="shared" si="3"/>
        <v>0</v>
      </c>
      <c r="V60" s="14">
        <v>0</v>
      </c>
      <c r="W60" s="17">
        <v>1.75</v>
      </c>
      <c r="X60" s="6">
        <v>-1.2813613172948728</v>
      </c>
      <c r="Y60" s="4">
        <f t="shared" si="4"/>
        <v>-0.73220646702564163</v>
      </c>
      <c r="Z60" s="3">
        <v>98086.250981494202</v>
      </c>
      <c r="AA60" s="17">
        <v>3.3</v>
      </c>
      <c r="AB60" s="17"/>
      <c r="AC60" s="4">
        <f t="shared" si="5"/>
        <v>0</v>
      </c>
      <c r="AD60" s="6">
        <v>0</v>
      </c>
      <c r="AE60" s="3">
        <v>1.75</v>
      </c>
      <c r="AF60" s="7">
        <v>0.53030303030303028</v>
      </c>
      <c r="AG60" s="30">
        <v>0</v>
      </c>
      <c r="AH60" s="30">
        <v>0</v>
      </c>
      <c r="AI60" s="30">
        <f t="shared" si="6"/>
        <v>0</v>
      </c>
      <c r="AK60" s="14"/>
      <c r="AL60" s="17"/>
      <c r="AM60" s="3"/>
      <c r="AN60" s="4"/>
      <c r="AO60" s="3"/>
      <c r="AP60" s="17"/>
      <c r="AQ60" s="17"/>
      <c r="AR60" s="6"/>
      <c r="AS60" s="3"/>
      <c r="AT60" s="3"/>
      <c r="AU60" s="7"/>
      <c r="AV60" s="8"/>
      <c r="AW60" s="8"/>
      <c r="AX60" s="8"/>
      <c r="AZ60" s="14"/>
      <c r="BA60" s="17"/>
      <c r="BB60" s="3"/>
      <c r="BC60" s="4"/>
      <c r="BD60" s="3"/>
      <c r="BE60" s="17"/>
      <c r="BF60" s="17"/>
      <c r="BG60" s="6"/>
      <c r="BH60" s="3"/>
      <c r="BI60" s="3"/>
      <c r="BJ60" s="7"/>
      <c r="BK60" s="8"/>
      <c r="BL60" s="8"/>
      <c r="BM60" s="8"/>
      <c r="BO60" s="14"/>
      <c r="BP60" s="17"/>
      <c r="BQ60" s="3"/>
      <c r="BR60" s="4"/>
      <c r="BS60" s="3"/>
      <c r="BT60" s="17"/>
      <c r="BU60" s="17"/>
      <c r="BV60" s="6"/>
      <c r="BW60" s="3"/>
      <c r="BX60" s="3"/>
      <c r="BY60" s="7"/>
      <c r="BZ60" s="8"/>
      <c r="CA60" s="8"/>
      <c r="CB60" s="8"/>
      <c r="CD60" s="14"/>
      <c r="CE60" s="17"/>
      <c r="CF60" s="3"/>
      <c r="CG60" s="4"/>
      <c r="CH60" s="3"/>
      <c r="CI60" s="17"/>
      <c r="CJ60" s="17"/>
      <c r="CK60" s="6"/>
      <c r="CL60" s="3"/>
      <c r="CM60" s="3"/>
      <c r="CN60" s="7"/>
      <c r="CO60" s="8"/>
      <c r="CP60" s="8"/>
      <c r="CQ60" s="8"/>
      <c r="CS60" s="14"/>
      <c r="CT60" s="17"/>
      <c r="CU60" s="3"/>
      <c r="CV60" s="4"/>
      <c r="CW60" s="3"/>
      <c r="CX60" s="17"/>
      <c r="CY60" s="17"/>
      <c r="CZ60" s="6"/>
      <c r="DA60" s="3"/>
      <c r="DB60" s="3"/>
      <c r="DC60" s="7"/>
      <c r="DD60" s="8"/>
      <c r="DE60" s="8"/>
      <c r="DF60" s="8"/>
      <c r="DH60" s="14"/>
      <c r="DI60" s="17"/>
      <c r="DJ60" s="3"/>
      <c r="DK60" s="4"/>
      <c r="DL60" s="3"/>
      <c r="DM60" s="17"/>
      <c r="DN60" s="17"/>
      <c r="DO60" s="6"/>
      <c r="DP60" s="3"/>
      <c r="DQ60" s="3"/>
      <c r="DR60" s="7"/>
      <c r="DS60" s="8"/>
      <c r="DT60" s="8"/>
      <c r="DU60" s="8"/>
      <c r="DW60" s="14"/>
      <c r="DX60" s="17"/>
      <c r="DY60" s="3"/>
      <c r="DZ60" s="4"/>
      <c r="EA60" s="3"/>
      <c r="EB60" s="17"/>
      <c r="EC60" s="17"/>
      <c r="ED60" s="6"/>
      <c r="EE60" s="3"/>
      <c r="EF60" s="3"/>
      <c r="EG60" s="7"/>
      <c r="EH60" s="8"/>
      <c r="EI60" s="8"/>
      <c r="EJ60" s="8"/>
      <c r="EL60" s="14"/>
      <c r="EM60" s="17"/>
      <c r="EN60" s="3"/>
      <c r="EO60" s="4"/>
      <c r="EP60" s="3"/>
      <c r="EQ60" s="17"/>
      <c r="ER60" s="17"/>
      <c r="ES60" s="6"/>
      <c r="ET60" s="3"/>
      <c r="EU60" s="3"/>
      <c r="EV60" s="7"/>
      <c r="EW60" s="8"/>
      <c r="EX60" s="8"/>
      <c r="EY60" s="8"/>
      <c r="FA60" s="14"/>
      <c r="FB60" s="17"/>
      <c r="FC60" s="3"/>
      <c r="FD60" s="4"/>
      <c r="FE60" s="3"/>
      <c r="FF60" s="17"/>
      <c r="FG60" s="17"/>
      <c r="FH60" s="6"/>
      <c r="FI60" s="3"/>
      <c r="FJ60" s="3"/>
      <c r="FK60" s="7"/>
      <c r="FL60" s="8"/>
      <c r="FM60" s="8"/>
      <c r="FN60" s="8"/>
      <c r="FP60" s="14"/>
      <c r="FQ60" s="17"/>
      <c r="FR60" s="3"/>
      <c r="FS60" s="4"/>
      <c r="FT60" s="3"/>
      <c r="FU60" s="17"/>
      <c r="FV60" s="17"/>
      <c r="FW60" s="6"/>
      <c r="FX60" s="3"/>
      <c r="FY60" s="3"/>
      <c r="FZ60" s="7"/>
      <c r="GA60" s="8"/>
      <c r="GB60" s="8"/>
      <c r="GC60" s="8"/>
      <c r="GE60" s="14">
        <f t="shared" si="7"/>
        <v>0</v>
      </c>
      <c r="GF60" s="14">
        <f t="shared" si="8"/>
        <v>3.5</v>
      </c>
      <c r="GG60" s="14">
        <f t="shared" si="9"/>
        <v>-1.3627655040801334</v>
      </c>
      <c r="GH60" s="4">
        <f t="shared" si="10"/>
        <v>-0.38936157259432386</v>
      </c>
      <c r="GI60" s="3">
        <f t="shared" si="11"/>
        <v>102907.954513843</v>
      </c>
      <c r="GJ60" s="3">
        <f t="shared" si="12"/>
        <v>2.5</v>
      </c>
      <c r="GK60" s="17" t="e">
        <f t="shared" si="13"/>
        <v>#DIV/0!</v>
      </c>
      <c r="GL60" s="4" t="e">
        <f t="shared" si="14"/>
        <v>#DIV/0!</v>
      </c>
      <c r="GM60" s="3">
        <f t="shared" si="15"/>
        <v>0</v>
      </c>
      <c r="GN60" s="14">
        <f t="shared" si="16"/>
        <v>1.75</v>
      </c>
      <c r="GO60" s="3">
        <f t="shared" si="17"/>
        <v>0.77985739750445637</v>
      </c>
      <c r="GP60" s="35">
        <f t="shared" si="18"/>
        <v>0</v>
      </c>
      <c r="GQ60" s="35">
        <f t="shared" si="19"/>
        <v>0</v>
      </c>
      <c r="GR60" s="35">
        <f t="shared" si="20"/>
        <v>0</v>
      </c>
    </row>
    <row r="61" spans="1:200" x14ac:dyDescent="0.35">
      <c r="A61" s="16" t="s">
        <v>109</v>
      </c>
      <c r="B61" s="2" t="s">
        <v>109</v>
      </c>
      <c r="C61" s="2" t="s">
        <v>109</v>
      </c>
      <c r="D61" s="2" t="s">
        <v>107</v>
      </c>
      <c r="E61" s="16" t="s">
        <v>109</v>
      </c>
      <c r="F61" s="18"/>
      <c r="G61" s="14">
        <f>217/3</f>
        <v>72.333333333333329</v>
      </c>
      <c r="H61" s="17">
        <v>0</v>
      </c>
      <c r="I61" s="6">
        <v>0</v>
      </c>
      <c r="J61" s="4">
        <f t="shared" si="0"/>
        <v>0</v>
      </c>
      <c r="K61" s="3" t="s">
        <v>121</v>
      </c>
      <c r="L61" s="17" t="s">
        <v>121</v>
      </c>
      <c r="M61" s="17">
        <f t="shared" si="1"/>
        <v>0</v>
      </c>
      <c r="N61" s="4">
        <f t="shared" si="2"/>
        <v>0</v>
      </c>
      <c r="O61" s="8"/>
      <c r="P61" s="6"/>
      <c r="Q61" s="7"/>
      <c r="R61" s="30">
        <v>0</v>
      </c>
      <c r="S61" s="30">
        <v>0</v>
      </c>
      <c r="T61" s="30">
        <f t="shared" si="3"/>
        <v>0</v>
      </c>
      <c r="V61" s="14">
        <v>72.333333333333329</v>
      </c>
      <c r="W61" s="17">
        <v>0</v>
      </c>
      <c r="X61" s="6">
        <v>0</v>
      </c>
      <c r="Y61" s="4">
        <f t="shared" si="4"/>
        <v>0</v>
      </c>
      <c r="Z61" s="3"/>
      <c r="AA61" s="17">
        <v>0</v>
      </c>
      <c r="AB61" s="17"/>
      <c r="AC61" s="4">
        <f t="shared" si="5"/>
        <v>0</v>
      </c>
      <c r="AD61" s="6"/>
      <c r="AF61" s="7">
        <v>0</v>
      </c>
      <c r="AG61" s="30"/>
      <c r="AH61" s="30">
        <v>0</v>
      </c>
      <c r="AI61" s="30">
        <f t="shared" si="6"/>
        <v>0</v>
      </c>
      <c r="AK61" s="14"/>
      <c r="AL61" s="17"/>
      <c r="AM61" s="3"/>
      <c r="AN61" s="4"/>
      <c r="AO61" s="3"/>
      <c r="AP61" s="17"/>
      <c r="AQ61" s="17"/>
      <c r="AR61" s="8"/>
      <c r="AS61" s="8"/>
      <c r="AT61" s="8"/>
      <c r="AU61" s="8"/>
      <c r="AV61" s="8"/>
      <c r="AW61" s="8"/>
      <c r="AX61" s="8"/>
      <c r="AZ61" s="14"/>
      <c r="BA61" s="17"/>
      <c r="BB61" s="3"/>
      <c r="BC61" s="4"/>
      <c r="BD61" s="3"/>
      <c r="BE61" s="17"/>
      <c r="BF61" s="17"/>
      <c r="BG61" s="8"/>
      <c r="BH61" s="8"/>
      <c r="BI61" s="8"/>
      <c r="BJ61" s="8"/>
      <c r="BK61" s="8"/>
      <c r="BL61" s="8"/>
      <c r="BM61" s="8"/>
      <c r="BO61" s="14"/>
      <c r="BP61" s="17"/>
      <c r="BQ61" s="3"/>
      <c r="BR61" s="4"/>
      <c r="BS61" s="3"/>
      <c r="BT61" s="17"/>
      <c r="BU61" s="17"/>
      <c r="BV61" s="8"/>
      <c r="BW61" s="8"/>
      <c r="BX61" s="8"/>
      <c r="BY61" s="8"/>
      <c r="BZ61" s="8"/>
      <c r="CA61" s="8"/>
      <c r="CB61" s="8"/>
      <c r="CD61" s="14"/>
      <c r="CE61" s="17"/>
      <c r="CF61" s="3"/>
      <c r="CG61" s="4"/>
      <c r="CH61" s="3"/>
      <c r="CI61" s="17"/>
      <c r="CJ61" s="17"/>
      <c r="CK61" s="8"/>
      <c r="CL61" s="8"/>
      <c r="CM61" s="8"/>
      <c r="CN61" s="8"/>
      <c r="CO61" s="8"/>
      <c r="CP61" s="8"/>
      <c r="CQ61" s="8"/>
      <c r="CS61" s="14"/>
      <c r="CT61" s="17"/>
      <c r="CU61" s="3"/>
      <c r="CV61" s="4"/>
      <c r="CW61" s="3"/>
      <c r="CX61" s="17"/>
      <c r="CY61" s="17"/>
      <c r="CZ61" s="8"/>
      <c r="DA61" s="8"/>
      <c r="DB61" s="8"/>
      <c r="DC61" s="8"/>
      <c r="DD61" s="8"/>
      <c r="DE61" s="8"/>
      <c r="DF61" s="8"/>
      <c r="DH61" s="14"/>
      <c r="DI61" s="17"/>
      <c r="DJ61" s="3"/>
      <c r="DK61" s="4"/>
      <c r="DL61" s="3"/>
      <c r="DM61" s="17"/>
      <c r="DN61" s="17"/>
      <c r="DO61" s="8"/>
      <c r="DP61" s="8"/>
      <c r="DQ61" s="8"/>
      <c r="DR61" s="8"/>
      <c r="DS61" s="8"/>
      <c r="DT61" s="8"/>
      <c r="DU61" s="8"/>
      <c r="DW61" s="14"/>
      <c r="DX61" s="17"/>
      <c r="DY61" s="3"/>
      <c r="DZ61" s="4"/>
      <c r="EA61" s="3"/>
      <c r="EB61" s="17"/>
      <c r="EC61" s="17"/>
      <c r="ED61" s="8"/>
      <c r="EE61" s="8"/>
      <c r="EF61" s="8"/>
      <c r="EG61" s="8"/>
      <c r="EH61" s="8"/>
      <c r="EI61" s="8"/>
      <c r="EJ61" s="8"/>
      <c r="EL61" s="14"/>
      <c r="EM61" s="17"/>
      <c r="EN61" s="3"/>
      <c r="EO61" s="4"/>
      <c r="EP61" s="3"/>
      <c r="EQ61" s="17"/>
      <c r="ER61" s="17"/>
      <c r="ES61" s="8"/>
      <c r="ET61" s="8"/>
      <c r="EU61" s="8"/>
      <c r="EV61" s="8"/>
      <c r="EW61" s="8"/>
      <c r="EX61" s="8"/>
      <c r="EY61" s="8"/>
      <c r="FA61" s="14"/>
      <c r="FB61" s="17"/>
      <c r="FC61" s="3"/>
      <c r="FD61" s="4"/>
      <c r="FE61" s="3"/>
      <c r="FF61" s="17"/>
      <c r="FG61" s="17"/>
      <c r="FH61" s="8"/>
      <c r="FI61" s="8"/>
      <c r="FJ61" s="8"/>
      <c r="FK61" s="8"/>
      <c r="FL61" s="8"/>
      <c r="FM61" s="8"/>
      <c r="FN61" s="8"/>
      <c r="FP61" s="14"/>
      <c r="FQ61" s="17"/>
      <c r="FR61" s="3"/>
      <c r="FS61" s="4"/>
      <c r="FT61" s="3"/>
      <c r="FU61" s="17"/>
      <c r="FV61" s="17"/>
      <c r="FW61" s="8"/>
      <c r="FX61" s="8"/>
      <c r="FY61" s="8"/>
      <c r="FZ61" s="8"/>
      <c r="GA61" s="8"/>
      <c r="GB61" s="8"/>
      <c r="GC61" s="8"/>
      <c r="GE61" s="14">
        <f t="shared" si="7"/>
        <v>144.66666666666666</v>
      </c>
      <c r="GF61" s="14">
        <f t="shared" si="8"/>
        <v>0</v>
      </c>
      <c r="GG61" s="14">
        <f t="shared" si="9"/>
        <v>0</v>
      </c>
      <c r="GH61" s="4">
        <f t="shared" si="10"/>
        <v>0</v>
      </c>
      <c r="GI61" s="3" t="e">
        <f t="shared" si="11"/>
        <v>#DIV/0!</v>
      </c>
      <c r="GJ61" s="3">
        <f t="shared" si="12"/>
        <v>0</v>
      </c>
      <c r="GK61" s="17" t="e">
        <f t="shared" si="13"/>
        <v>#DIV/0!</v>
      </c>
      <c r="GL61" s="4" t="e">
        <f t="shared" si="14"/>
        <v>#DIV/0!</v>
      </c>
      <c r="GM61" s="3" t="e">
        <f t="shared" si="15"/>
        <v>#DIV/0!</v>
      </c>
      <c r="GN61" s="14">
        <f t="shared" si="16"/>
        <v>0</v>
      </c>
      <c r="GO61" s="3">
        <f t="shared" si="17"/>
        <v>0</v>
      </c>
      <c r="GP61" s="35">
        <f t="shared" si="18"/>
        <v>0</v>
      </c>
      <c r="GQ61" s="35">
        <f t="shared" si="19"/>
        <v>0</v>
      </c>
      <c r="GR61" s="35">
        <f t="shared" si="20"/>
        <v>0</v>
      </c>
    </row>
    <row r="62" spans="1:200" x14ac:dyDescent="0.35">
      <c r="A62" s="16" t="s">
        <v>110</v>
      </c>
      <c r="B62" s="2" t="s">
        <v>148</v>
      </c>
      <c r="C62" s="2" t="s">
        <v>148</v>
      </c>
      <c r="D62" s="23" t="s">
        <v>107</v>
      </c>
      <c r="E62" s="16" t="s">
        <v>111</v>
      </c>
      <c r="F62" s="18"/>
      <c r="G62" s="14">
        <v>0</v>
      </c>
      <c r="H62" s="17">
        <v>0</v>
      </c>
      <c r="I62" s="6">
        <v>0</v>
      </c>
      <c r="J62" s="4">
        <f t="shared" si="0"/>
        <v>0</v>
      </c>
      <c r="K62" s="3" t="s">
        <v>121</v>
      </c>
      <c r="L62" s="17" t="s">
        <v>121</v>
      </c>
      <c r="M62" s="17">
        <f t="shared" si="1"/>
        <v>0</v>
      </c>
      <c r="N62" s="4">
        <f t="shared" si="2"/>
        <v>0</v>
      </c>
      <c r="O62" s="8"/>
      <c r="P62" s="6"/>
      <c r="Q62" s="7"/>
      <c r="R62" s="30">
        <v>0</v>
      </c>
      <c r="S62" s="30">
        <v>0</v>
      </c>
      <c r="T62" s="30">
        <f t="shared" si="3"/>
        <v>0</v>
      </c>
      <c r="V62" s="14">
        <v>0</v>
      </c>
      <c r="W62" s="17">
        <v>11.5</v>
      </c>
      <c r="X62" s="6">
        <v>6.7535375636363639</v>
      </c>
      <c r="Y62" s="4">
        <f t="shared" si="4"/>
        <v>0.58726413596837945</v>
      </c>
      <c r="Z62" s="3">
        <v>93721.434545454555</v>
      </c>
      <c r="AA62" s="17">
        <v>6</v>
      </c>
      <c r="AB62" s="17"/>
      <c r="AC62" s="4">
        <f t="shared" si="5"/>
        <v>0</v>
      </c>
      <c r="AD62" s="6" t="s">
        <v>123</v>
      </c>
      <c r="AF62" s="7">
        <v>0.93721434545454552</v>
      </c>
      <c r="AG62" s="30">
        <v>0</v>
      </c>
      <c r="AH62" s="30">
        <v>0</v>
      </c>
      <c r="AI62" s="30">
        <f t="shared" si="6"/>
        <v>0</v>
      </c>
      <c r="AK62" s="14"/>
      <c r="AL62" s="17"/>
      <c r="AM62" s="3"/>
      <c r="AN62" s="4"/>
      <c r="AO62" s="8"/>
      <c r="AP62" s="17"/>
      <c r="AQ62" s="8"/>
      <c r="AR62" s="8"/>
      <c r="AS62" s="8"/>
      <c r="AT62" s="8"/>
      <c r="AU62" s="8"/>
      <c r="AV62" s="8"/>
      <c r="AW62" s="8"/>
      <c r="AX62" s="8"/>
      <c r="AZ62" s="14"/>
      <c r="BA62" s="17"/>
      <c r="BB62" s="3"/>
      <c r="BC62" s="4"/>
      <c r="BD62" s="8"/>
      <c r="BE62" s="17"/>
      <c r="BF62" s="8"/>
      <c r="BG62" s="8"/>
      <c r="BH62" s="8"/>
      <c r="BI62" s="8"/>
      <c r="BJ62" s="8"/>
      <c r="BK62" s="8"/>
      <c r="BL62" s="8"/>
      <c r="BM62" s="8"/>
      <c r="BO62" s="14"/>
      <c r="BP62" s="17"/>
      <c r="BQ62" s="3"/>
      <c r="BR62" s="4"/>
      <c r="BS62" s="8"/>
      <c r="BT62" s="17"/>
      <c r="BU62" s="8"/>
      <c r="BV62" s="8"/>
      <c r="BW62" s="8"/>
      <c r="BX62" s="8"/>
      <c r="BY62" s="8"/>
      <c r="BZ62" s="8"/>
      <c r="CA62" s="8"/>
      <c r="CB62" s="8"/>
      <c r="CD62" s="14"/>
      <c r="CE62" s="17"/>
      <c r="CF62" s="3"/>
      <c r="CG62" s="4"/>
      <c r="CH62" s="8"/>
      <c r="CI62" s="17"/>
      <c r="CJ62" s="8"/>
      <c r="CK62" s="8"/>
      <c r="CL62" s="8"/>
      <c r="CM62" s="8"/>
      <c r="CN62" s="8"/>
      <c r="CO62" s="8"/>
      <c r="CP62" s="8"/>
      <c r="CQ62" s="8"/>
      <c r="CS62" s="14"/>
      <c r="CT62" s="17"/>
      <c r="CU62" s="3"/>
      <c r="CV62" s="4"/>
      <c r="CW62" s="8"/>
      <c r="CX62" s="17"/>
      <c r="CY62" s="8"/>
      <c r="CZ62" s="8"/>
      <c r="DA62" s="8"/>
      <c r="DB62" s="8"/>
      <c r="DC62" s="8"/>
      <c r="DD62" s="8"/>
      <c r="DE62" s="8"/>
      <c r="DF62" s="8"/>
      <c r="DH62" s="14"/>
      <c r="DI62" s="17"/>
      <c r="DJ62" s="3"/>
      <c r="DK62" s="4"/>
      <c r="DL62" s="8"/>
      <c r="DM62" s="17"/>
      <c r="DN62" s="8"/>
      <c r="DO62" s="8"/>
      <c r="DP62" s="8"/>
      <c r="DQ62" s="8"/>
      <c r="DR62" s="8"/>
      <c r="DS62" s="8"/>
      <c r="DT62" s="8"/>
      <c r="DU62" s="8"/>
      <c r="DW62" s="14"/>
      <c r="DX62" s="17"/>
      <c r="DY62" s="3"/>
      <c r="DZ62" s="4"/>
      <c r="EA62" s="8"/>
      <c r="EB62" s="17"/>
      <c r="EC62" s="8"/>
      <c r="ED62" s="8"/>
      <c r="EE62" s="8"/>
      <c r="EF62" s="8"/>
      <c r="EG62" s="8"/>
      <c r="EH62" s="8"/>
      <c r="EI62" s="8"/>
      <c r="EJ62" s="8"/>
      <c r="EL62" s="14"/>
      <c r="EM62" s="17"/>
      <c r="EN62" s="3"/>
      <c r="EO62" s="4"/>
      <c r="EP62" s="8"/>
      <c r="EQ62" s="17"/>
      <c r="ER62" s="8"/>
      <c r="ES62" s="8"/>
      <c r="ET62" s="8"/>
      <c r="EU62" s="8"/>
      <c r="EV62" s="8"/>
      <c r="EW62" s="8"/>
      <c r="EX62" s="8"/>
      <c r="EY62" s="8"/>
      <c r="FA62" s="14"/>
      <c r="FB62" s="17"/>
      <c r="FC62" s="3"/>
      <c r="FD62" s="4"/>
      <c r="FE62" s="8"/>
      <c r="FF62" s="17"/>
      <c r="FG62" s="8"/>
      <c r="FH62" s="8"/>
      <c r="FI62" s="8"/>
      <c r="FJ62" s="8"/>
      <c r="FK62" s="8"/>
      <c r="FL62" s="8"/>
      <c r="FM62" s="8"/>
      <c r="FN62" s="8"/>
      <c r="FP62" s="14"/>
      <c r="FQ62" s="17"/>
      <c r="FR62" s="3"/>
      <c r="FS62" s="4"/>
      <c r="FT62" s="8"/>
      <c r="FU62" s="17"/>
      <c r="FV62" s="8"/>
      <c r="FW62" s="8"/>
      <c r="FX62" s="8"/>
      <c r="FY62" s="8"/>
      <c r="FZ62" s="8"/>
      <c r="GA62" s="8"/>
      <c r="GB62" s="8"/>
      <c r="GC62" s="8"/>
      <c r="GE62" s="14">
        <f t="shared" si="7"/>
        <v>0</v>
      </c>
      <c r="GF62" s="14">
        <f t="shared" si="8"/>
        <v>11.5</v>
      </c>
      <c r="GG62" s="14">
        <f t="shared" si="9"/>
        <v>6.7535375636363639</v>
      </c>
      <c r="GH62" s="4">
        <f t="shared" si="10"/>
        <v>0.58726413596837945</v>
      </c>
      <c r="GI62" s="3">
        <f t="shared" si="11"/>
        <v>93721.434545454555</v>
      </c>
      <c r="GJ62" s="3">
        <f t="shared" si="12"/>
        <v>6</v>
      </c>
      <c r="GK62" s="17" t="e">
        <f t="shared" si="13"/>
        <v>#DIV/0!</v>
      </c>
      <c r="GL62" s="4" t="e">
        <f t="shared" si="14"/>
        <v>#DIV/0!</v>
      </c>
      <c r="GM62" s="3" t="e">
        <f t="shared" si="15"/>
        <v>#DIV/0!</v>
      </c>
      <c r="GN62" s="14">
        <f t="shared" si="16"/>
        <v>0</v>
      </c>
      <c r="GO62" s="3">
        <f t="shared" si="17"/>
        <v>0.93721434545454552</v>
      </c>
      <c r="GP62" s="35">
        <f t="shared" si="18"/>
        <v>0</v>
      </c>
      <c r="GQ62" s="35">
        <f t="shared" si="19"/>
        <v>0</v>
      </c>
      <c r="GR62" s="35">
        <f t="shared" si="20"/>
        <v>0</v>
      </c>
    </row>
    <row r="63" spans="1:200" x14ac:dyDescent="0.35">
      <c r="A63" s="16" t="s">
        <v>118</v>
      </c>
      <c r="B63" s="2" t="s">
        <v>146</v>
      </c>
      <c r="C63" s="2" t="s">
        <v>119</v>
      </c>
      <c r="D63" s="23" t="s">
        <v>108</v>
      </c>
      <c r="E63" s="16" t="s">
        <v>85</v>
      </c>
      <c r="F63" s="18"/>
      <c r="G63" s="8"/>
      <c r="H63" s="8"/>
      <c r="I63" s="6">
        <v>0</v>
      </c>
      <c r="J63" s="8"/>
      <c r="K63" s="3" t="s">
        <v>121</v>
      </c>
      <c r="L63" s="17" t="s">
        <v>121</v>
      </c>
      <c r="M63" s="17">
        <f t="shared" si="1"/>
        <v>0</v>
      </c>
      <c r="N63" s="4">
        <f t="shared" si="2"/>
        <v>0</v>
      </c>
      <c r="O63" s="8"/>
      <c r="P63" s="6"/>
      <c r="Q63" s="7"/>
      <c r="R63" s="30">
        <v>0</v>
      </c>
      <c r="S63" s="30">
        <v>0</v>
      </c>
      <c r="T63" s="30">
        <f t="shared" si="3"/>
        <v>0</v>
      </c>
      <c r="W63" s="17">
        <v>2.12</v>
      </c>
      <c r="X63" s="6">
        <v>0.32771504500409121</v>
      </c>
      <c r="Y63" s="4">
        <f t="shared" si="4"/>
        <v>0.15458256839815623</v>
      </c>
      <c r="Z63" s="3">
        <v>75793.389028632228</v>
      </c>
      <c r="AA63" s="17">
        <v>2.7</v>
      </c>
      <c r="AB63" s="17"/>
      <c r="AC63" s="4">
        <f t="shared" si="5"/>
        <v>0</v>
      </c>
      <c r="AD63" s="6" t="s">
        <v>123</v>
      </c>
      <c r="AE63">
        <v>2.12</v>
      </c>
      <c r="AF63" s="7">
        <v>0.7579338902863223</v>
      </c>
      <c r="AG63" s="30">
        <v>0</v>
      </c>
      <c r="AH63" s="30">
        <v>0</v>
      </c>
      <c r="AI63" s="30">
        <f t="shared" si="6"/>
        <v>0</v>
      </c>
      <c r="AK63" s="8"/>
      <c r="AL63" s="17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Z63" s="8"/>
      <c r="BA63" s="17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O63" s="8"/>
      <c r="BP63" s="17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D63" s="8"/>
      <c r="CE63" s="17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S63" s="8"/>
      <c r="CT63" s="17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H63" s="8"/>
      <c r="DI63" s="17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W63" s="8"/>
      <c r="DX63" s="17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L63" s="8"/>
      <c r="EM63" s="17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FA63" s="8"/>
      <c r="FB63" s="17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P63" s="8"/>
      <c r="FQ63" s="17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E63" s="14">
        <f t="shared" si="7"/>
        <v>0</v>
      </c>
      <c r="GF63" s="14">
        <f t="shared" si="8"/>
        <v>2.12</v>
      </c>
      <c r="GG63" s="14">
        <f t="shared" si="9"/>
        <v>0.32771504500409121</v>
      </c>
      <c r="GH63" s="4">
        <f t="shared" si="10"/>
        <v>0.15458256839815623</v>
      </c>
      <c r="GI63" s="3">
        <f t="shared" si="11"/>
        <v>75793.389028632228</v>
      </c>
      <c r="GJ63" s="3">
        <f t="shared" si="12"/>
        <v>2.7</v>
      </c>
      <c r="GK63" s="17" t="e">
        <f t="shared" si="13"/>
        <v>#DIV/0!</v>
      </c>
      <c r="GL63" s="4" t="e">
        <f t="shared" si="14"/>
        <v>#DIV/0!</v>
      </c>
      <c r="GM63" s="3" t="e">
        <f t="shared" si="15"/>
        <v>#DIV/0!</v>
      </c>
      <c r="GN63" s="14">
        <f t="shared" si="16"/>
        <v>2.12</v>
      </c>
      <c r="GO63" s="3">
        <f t="shared" si="17"/>
        <v>0.7579338902863223</v>
      </c>
      <c r="GP63" s="35">
        <f t="shared" si="18"/>
        <v>0</v>
      </c>
      <c r="GQ63" s="35">
        <f t="shared" si="19"/>
        <v>0</v>
      </c>
      <c r="GR63" s="35">
        <f t="shared" si="20"/>
        <v>0</v>
      </c>
    </row>
    <row r="64" spans="1:200" x14ac:dyDescent="0.35">
      <c r="A64" s="16" t="s">
        <v>120</v>
      </c>
      <c r="B64" s="2" t="s">
        <v>146</v>
      </c>
      <c r="C64" s="2" t="s">
        <v>154</v>
      </c>
      <c r="D64" s="23" t="s">
        <v>107</v>
      </c>
      <c r="E64" s="16" t="s">
        <v>70</v>
      </c>
      <c r="F64" s="18"/>
      <c r="I64" s="29">
        <v>-1.460979459787727</v>
      </c>
      <c r="K64" s="3">
        <v>442721.04842052335</v>
      </c>
      <c r="L64" s="17">
        <v>0.33</v>
      </c>
      <c r="M64" s="17">
        <f t="shared" si="1"/>
        <v>0</v>
      </c>
      <c r="N64" s="4">
        <f t="shared" si="2"/>
        <v>0</v>
      </c>
      <c r="P64" s="6"/>
      <c r="Q64" s="7"/>
      <c r="R64" s="30">
        <v>0</v>
      </c>
      <c r="S64" s="30">
        <v>0</v>
      </c>
      <c r="T64" s="30">
        <f t="shared" si="3"/>
        <v>0</v>
      </c>
      <c r="W64" s="17">
        <v>0</v>
      </c>
      <c r="X64" s="6">
        <v>-0.48468147226997532</v>
      </c>
      <c r="Y64" s="4">
        <f t="shared" si="4"/>
        <v>0</v>
      </c>
      <c r="Z64" s="3"/>
      <c r="AA64" s="17">
        <v>0</v>
      </c>
      <c r="AB64" s="17"/>
      <c r="AC64" s="4">
        <f t="shared" si="5"/>
        <v>0</v>
      </c>
      <c r="AD64" s="6" t="s">
        <v>123</v>
      </c>
      <c r="AF64" s="7">
        <v>0</v>
      </c>
      <c r="AG64" s="30">
        <v>0</v>
      </c>
      <c r="AH64" s="30">
        <v>0</v>
      </c>
      <c r="AI64" s="30">
        <f t="shared" si="6"/>
        <v>0</v>
      </c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E64" s="14">
        <f t="shared" si="7"/>
        <v>0</v>
      </c>
      <c r="GF64" s="14">
        <f t="shared" si="8"/>
        <v>0</v>
      </c>
      <c r="GG64" s="14">
        <f t="shared" si="9"/>
        <v>-1.9456609320577023</v>
      </c>
      <c r="GH64" s="4">
        <f t="shared" si="10"/>
        <v>0</v>
      </c>
      <c r="GI64" s="3">
        <f t="shared" si="11"/>
        <v>442721.04842052335</v>
      </c>
      <c r="GJ64" s="3">
        <f t="shared" si="12"/>
        <v>0.16500000000000001</v>
      </c>
      <c r="GK64" s="17" t="e">
        <f t="shared" si="13"/>
        <v>#DIV/0!</v>
      </c>
      <c r="GL64" s="4" t="e">
        <f t="shared" si="14"/>
        <v>#DIV/0!</v>
      </c>
      <c r="GM64" s="3" t="e">
        <f t="shared" si="15"/>
        <v>#DIV/0!</v>
      </c>
      <c r="GN64" s="14">
        <f t="shared" si="16"/>
        <v>0</v>
      </c>
      <c r="GO64" s="3">
        <f t="shared" si="17"/>
        <v>0</v>
      </c>
      <c r="GP64" s="35">
        <f t="shared" si="18"/>
        <v>0</v>
      </c>
      <c r="GQ64" s="35">
        <f t="shared" si="19"/>
        <v>0</v>
      </c>
      <c r="GR64" s="35">
        <f t="shared" si="20"/>
        <v>0</v>
      </c>
    </row>
    <row r="65" spans="8:33" x14ac:dyDescent="0.35">
      <c r="AG65" s="30"/>
    </row>
    <row r="66" spans="8:33" x14ac:dyDescent="0.35">
      <c r="H66" s="18"/>
      <c r="I66" s="18"/>
      <c r="J66" s="33"/>
      <c r="T66" s="18"/>
    </row>
  </sheetData>
  <mergeCells count="13">
    <mergeCell ref="G1:T1"/>
    <mergeCell ref="V1:AI1"/>
    <mergeCell ref="AK1:AX1"/>
    <mergeCell ref="AZ1:BM1"/>
    <mergeCell ref="BO1:CB1"/>
    <mergeCell ref="FA1:FN1"/>
    <mergeCell ref="FP1:GC1"/>
    <mergeCell ref="GE1:GR1"/>
    <mergeCell ref="CD1:CQ1"/>
    <mergeCell ref="CS1:DF1"/>
    <mergeCell ref="DH1:DU1"/>
    <mergeCell ref="DW1:EJ1"/>
    <mergeCell ref="EL1:EY1"/>
  </mergeCells>
  <conditionalFormatting sqref="A3:A64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5F7C9-8BE9-4827-9216-8699CEAB47D5}">
  <dimension ref="A1:AE68"/>
  <sheetViews>
    <sheetView topLeftCell="B1" workbookViewId="0">
      <selection activeCell="C1" sqref="C1"/>
    </sheetView>
  </sheetViews>
  <sheetFormatPr defaultRowHeight="14.5" x14ac:dyDescent="0.35"/>
  <cols>
    <col min="1" max="1" width="25.26953125" bestFit="1" customWidth="1"/>
    <col min="2" max="2" width="8.7265625" customWidth="1"/>
    <col min="3" max="3" width="13.7265625" customWidth="1"/>
    <col min="4" max="4" width="13.54296875" customWidth="1"/>
    <col min="5" max="5" width="10.08984375" customWidth="1"/>
    <col min="7" max="18" width="8.7265625" customWidth="1"/>
  </cols>
  <sheetData>
    <row r="1" spans="1:31" x14ac:dyDescent="0.35">
      <c r="G1" s="41" t="s">
        <v>137</v>
      </c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T1" s="41" t="s">
        <v>156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</row>
    <row r="2" spans="1:31" x14ac:dyDescent="0.35">
      <c r="A2" s="1" t="s">
        <v>0</v>
      </c>
      <c r="B2" s="1" t="s">
        <v>81</v>
      </c>
      <c r="C2" s="1" t="s">
        <v>77</v>
      </c>
      <c r="D2" s="1" t="s">
        <v>106</v>
      </c>
      <c r="E2" s="1" t="s">
        <v>1</v>
      </c>
      <c r="G2" s="10" t="s">
        <v>112</v>
      </c>
      <c r="H2" s="10" t="s">
        <v>114</v>
      </c>
      <c r="I2" s="10" t="s">
        <v>115</v>
      </c>
      <c r="J2" s="10" t="s">
        <v>128</v>
      </c>
      <c r="K2" s="10" t="s">
        <v>129</v>
      </c>
      <c r="L2" s="10" t="s">
        <v>130</v>
      </c>
      <c r="M2" s="10" t="s">
        <v>131</v>
      </c>
      <c r="N2" s="10" t="s">
        <v>132</v>
      </c>
      <c r="O2" s="10" t="s">
        <v>133</v>
      </c>
      <c r="P2" s="10" t="s">
        <v>134</v>
      </c>
      <c r="Q2" s="10" t="s">
        <v>135</v>
      </c>
      <c r="R2" s="10" t="s">
        <v>136</v>
      </c>
      <c r="T2" s="10" t="s">
        <v>112</v>
      </c>
      <c r="U2" s="10" t="s">
        <v>114</v>
      </c>
      <c r="V2" s="10" t="s">
        <v>115</v>
      </c>
      <c r="W2" s="10" t="s">
        <v>128</v>
      </c>
      <c r="X2" s="10" t="s">
        <v>129</v>
      </c>
      <c r="Y2" s="10" t="s">
        <v>130</v>
      </c>
      <c r="Z2" s="10" t="s">
        <v>131</v>
      </c>
      <c r="AA2" s="10" t="s">
        <v>132</v>
      </c>
      <c r="AB2" s="10" t="s">
        <v>133</v>
      </c>
      <c r="AC2" s="10" t="s">
        <v>134</v>
      </c>
      <c r="AD2" s="10" t="s">
        <v>135</v>
      </c>
      <c r="AE2" s="10" t="s">
        <v>136</v>
      </c>
    </row>
    <row r="3" spans="1:31" x14ac:dyDescent="0.35">
      <c r="A3" s="3" t="s">
        <v>36</v>
      </c>
      <c r="B3" s="2" t="s">
        <v>144</v>
      </c>
      <c r="C3" s="2" t="s">
        <v>144</v>
      </c>
      <c r="D3" s="2" t="s">
        <v>107</v>
      </c>
      <c r="E3" s="2" t="s">
        <v>69</v>
      </c>
      <c r="G3">
        <v>209.03094999999999</v>
      </c>
      <c r="H3">
        <v>5.7781500000000001</v>
      </c>
      <c r="I3">
        <v>157.25724</v>
      </c>
      <c r="T3" s="34">
        <v>218.47649999999999</v>
      </c>
      <c r="U3" s="34">
        <v>12.097200000000001</v>
      </c>
      <c r="V3" s="34">
        <v>138.52231</v>
      </c>
    </row>
    <row r="4" spans="1:31" x14ac:dyDescent="0.35">
      <c r="A4" s="3" t="s">
        <v>60</v>
      </c>
      <c r="B4" s="2" t="s">
        <v>144</v>
      </c>
      <c r="C4" s="2" t="s">
        <v>84</v>
      </c>
      <c r="D4" s="2" t="s">
        <v>107</v>
      </c>
      <c r="E4" s="3" t="s">
        <v>69</v>
      </c>
      <c r="G4">
        <v>0</v>
      </c>
      <c r="H4">
        <v>0</v>
      </c>
      <c r="I4">
        <v>0</v>
      </c>
      <c r="T4" s="34">
        <v>0</v>
      </c>
      <c r="U4" s="34">
        <v>0</v>
      </c>
      <c r="V4" s="34">
        <v>0</v>
      </c>
    </row>
    <row r="5" spans="1:31" x14ac:dyDescent="0.35">
      <c r="A5" s="3" t="s">
        <v>7</v>
      </c>
      <c r="B5" s="2" t="s">
        <v>142</v>
      </c>
      <c r="C5" s="2" t="s">
        <v>83</v>
      </c>
      <c r="D5" s="2" t="s">
        <v>107</v>
      </c>
      <c r="E5" s="3" t="s">
        <v>2</v>
      </c>
      <c r="G5">
        <v>4.4249999999999998</v>
      </c>
      <c r="H5">
        <v>5.31</v>
      </c>
      <c r="I5">
        <v>1.67265</v>
      </c>
      <c r="T5" s="34">
        <v>11.22977</v>
      </c>
      <c r="U5" s="34">
        <v>15.84271</v>
      </c>
      <c r="V5" s="34">
        <v>0</v>
      </c>
    </row>
    <row r="6" spans="1:31" x14ac:dyDescent="0.35">
      <c r="A6" s="3" t="s">
        <v>37</v>
      </c>
      <c r="B6" s="2" t="s">
        <v>142</v>
      </c>
      <c r="C6" s="2" t="s">
        <v>127</v>
      </c>
      <c r="D6" s="2" t="s">
        <v>107</v>
      </c>
      <c r="E6" s="3" t="s">
        <v>85</v>
      </c>
      <c r="G6">
        <v>33.97439</v>
      </c>
      <c r="H6">
        <v>6.9029999999999996</v>
      </c>
      <c r="I6">
        <v>6.9029999999999996</v>
      </c>
      <c r="T6" s="34">
        <v>27.071390000000001</v>
      </c>
      <c r="U6" s="34">
        <v>0</v>
      </c>
      <c r="V6" s="34">
        <v>0</v>
      </c>
    </row>
    <row r="7" spans="1:31" x14ac:dyDescent="0.35">
      <c r="A7" s="3" t="s">
        <v>38</v>
      </c>
      <c r="B7" s="2" t="s">
        <v>146</v>
      </c>
      <c r="C7" s="2" t="s">
        <v>151</v>
      </c>
      <c r="D7" s="2" t="s">
        <v>107</v>
      </c>
      <c r="E7" s="3" t="s">
        <v>70</v>
      </c>
      <c r="G7">
        <v>60.377890000000001</v>
      </c>
      <c r="H7">
        <v>45.98189</v>
      </c>
      <c r="I7">
        <v>43.90775</v>
      </c>
      <c r="T7" s="34">
        <v>8.1212</v>
      </c>
      <c r="U7" s="34">
        <v>99.280510000000007</v>
      </c>
      <c r="V7" s="34">
        <v>71.801839999999999</v>
      </c>
    </row>
    <row r="8" spans="1:31" x14ac:dyDescent="0.35">
      <c r="A8" s="3" t="s">
        <v>39</v>
      </c>
      <c r="B8" s="2" t="s">
        <v>142</v>
      </c>
      <c r="C8" s="2" t="s">
        <v>127</v>
      </c>
      <c r="D8" s="2" t="s">
        <v>107</v>
      </c>
      <c r="E8" s="3" t="s">
        <v>85</v>
      </c>
      <c r="G8">
        <v>0</v>
      </c>
      <c r="H8">
        <v>0</v>
      </c>
      <c r="I8">
        <v>0</v>
      </c>
      <c r="T8" s="34">
        <v>0</v>
      </c>
      <c r="U8" s="34">
        <v>0</v>
      </c>
      <c r="V8" s="34">
        <v>0</v>
      </c>
    </row>
    <row r="9" spans="1:31" x14ac:dyDescent="0.35">
      <c r="A9" s="3" t="s">
        <v>8</v>
      </c>
      <c r="B9" s="2" t="s">
        <v>142</v>
      </c>
      <c r="C9" s="2" t="s">
        <v>83</v>
      </c>
      <c r="D9" s="2" t="s">
        <v>107</v>
      </c>
      <c r="E9" s="3" t="s">
        <v>2</v>
      </c>
      <c r="G9">
        <v>25.538</v>
      </c>
      <c r="H9">
        <v>24.357500000000002</v>
      </c>
      <c r="I9">
        <v>40.2331</v>
      </c>
      <c r="T9" s="34">
        <v>2.9150999999999998</v>
      </c>
      <c r="U9" s="34">
        <v>7.7396000000000003</v>
      </c>
      <c r="V9" s="34">
        <v>8.0235000000000003</v>
      </c>
    </row>
    <row r="10" spans="1:31" x14ac:dyDescent="0.35">
      <c r="A10" s="3" t="s">
        <v>4</v>
      </c>
      <c r="B10" s="2" t="s">
        <v>142</v>
      </c>
      <c r="C10" s="2" t="s">
        <v>83</v>
      </c>
      <c r="D10" s="2" t="s">
        <v>107</v>
      </c>
      <c r="E10" s="3" t="s">
        <v>2</v>
      </c>
      <c r="G10">
        <v>14.62623</v>
      </c>
      <c r="H10">
        <v>13.02169</v>
      </c>
      <c r="I10">
        <v>16.294049999999999</v>
      </c>
      <c r="T10" s="34">
        <v>8.0480699999999992</v>
      </c>
      <c r="U10" s="34">
        <v>6.2655000000000003</v>
      </c>
      <c r="V10" s="34">
        <v>1.3083</v>
      </c>
    </row>
    <row r="11" spans="1:31" x14ac:dyDescent="0.35">
      <c r="A11" s="3" t="s">
        <v>9</v>
      </c>
      <c r="B11" s="2" t="s">
        <v>142</v>
      </c>
      <c r="C11" s="2" t="s">
        <v>83</v>
      </c>
      <c r="D11" s="2" t="s">
        <v>107</v>
      </c>
      <c r="E11" s="3" t="s">
        <v>2</v>
      </c>
      <c r="G11">
        <v>13.60774</v>
      </c>
      <c r="H11">
        <v>21.481169999999999</v>
      </c>
      <c r="I11">
        <v>23.00074</v>
      </c>
      <c r="T11" s="34">
        <v>25.18271</v>
      </c>
      <c r="U11" s="34">
        <v>4.6232899999999999</v>
      </c>
      <c r="V11" s="34">
        <v>0.45134999999999997</v>
      </c>
    </row>
    <row r="12" spans="1:31" x14ac:dyDescent="0.35">
      <c r="A12" s="3" t="s">
        <v>40</v>
      </c>
      <c r="B12" s="2" t="s">
        <v>145</v>
      </c>
      <c r="C12" s="2" t="s">
        <v>145</v>
      </c>
      <c r="D12" s="2" t="s">
        <v>107</v>
      </c>
      <c r="E12" s="3" t="s">
        <v>71</v>
      </c>
      <c r="G12">
        <v>301.86070000000001</v>
      </c>
      <c r="H12">
        <v>252.37766999999999</v>
      </c>
      <c r="I12">
        <v>266.71429000000001</v>
      </c>
      <c r="T12" s="34">
        <v>302.00304999999997</v>
      </c>
      <c r="U12" s="34">
        <v>260.64585</v>
      </c>
      <c r="V12" s="34">
        <v>226.85303999999999</v>
      </c>
    </row>
    <row r="13" spans="1:31" x14ac:dyDescent="0.35">
      <c r="A13" s="3" t="s">
        <v>41</v>
      </c>
      <c r="B13" s="2" t="s">
        <v>146</v>
      </c>
      <c r="C13" s="2" t="s">
        <v>154</v>
      </c>
      <c r="D13" s="2" t="s">
        <v>107</v>
      </c>
      <c r="E13" s="3" t="s">
        <v>70</v>
      </c>
      <c r="G13">
        <v>0</v>
      </c>
      <c r="H13">
        <v>0</v>
      </c>
      <c r="I13">
        <v>0</v>
      </c>
      <c r="T13" s="34">
        <v>3.835</v>
      </c>
      <c r="U13" s="34">
        <v>4.9482799999999996</v>
      </c>
      <c r="V13" s="34">
        <v>0</v>
      </c>
    </row>
    <row r="14" spans="1:31" x14ac:dyDescent="0.35">
      <c r="A14" s="3" t="s">
        <v>13</v>
      </c>
      <c r="B14" s="2" t="s">
        <v>142</v>
      </c>
      <c r="C14" s="2" t="s">
        <v>83</v>
      </c>
      <c r="D14" s="2" t="s">
        <v>107</v>
      </c>
      <c r="E14" s="3" t="s">
        <v>2</v>
      </c>
      <c r="G14">
        <v>8.0977499999999996</v>
      </c>
      <c r="H14">
        <v>8.0977499999999996</v>
      </c>
      <c r="I14">
        <v>0</v>
      </c>
      <c r="T14" s="34">
        <v>8.6328800000000001</v>
      </c>
      <c r="U14" s="34">
        <v>0</v>
      </c>
      <c r="V14" s="34">
        <v>0</v>
      </c>
    </row>
    <row r="15" spans="1:31" x14ac:dyDescent="0.35">
      <c r="A15" s="3" t="s">
        <v>23</v>
      </c>
      <c r="B15" s="2" t="s">
        <v>142</v>
      </c>
      <c r="C15" s="2" t="s">
        <v>84</v>
      </c>
      <c r="D15" s="2" t="s">
        <v>107</v>
      </c>
      <c r="E15" s="3" t="s">
        <v>2</v>
      </c>
      <c r="G15">
        <v>0</v>
      </c>
      <c r="H15">
        <v>0</v>
      </c>
      <c r="I15">
        <v>0</v>
      </c>
      <c r="T15" s="34">
        <v>0</v>
      </c>
      <c r="U15" s="34">
        <v>0</v>
      </c>
      <c r="V15" s="34">
        <v>0</v>
      </c>
    </row>
    <row r="16" spans="1:31" x14ac:dyDescent="0.35">
      <c r="A16" s="3" t="s">
        <v>42</v>
      </c>
      <c r="B16" s="2" t="s">
        <v>146</v>
      </c>
      <c r="C16" s="2" t="s">
        <v>150</v>
      </c>
      <c r="D16" s="2" t="s">
        <v>107</v>
      </c>
      <c r="E16" s="3" t="s">
        <v>70</v>
      </c>
      <c r="G16">
        <v>0.12920000000000001</v>
      </c>
      <c r="H16">
        <v>0.12920000000000001</v>
      </c>
      <c r="I16">
        <v>0.25840000000000002</v>
      </c>
      <c r="T16" s="34">
        <v>0</v>
      </c>
      <c r="U16" s="34">
        <v>10.698589999999999</v>
      </c>
      <c r="V16" s="34">
        <v>0</v>
      </c>
    </row>
    <row r="17" spans="1:22" x14ac:dyDescent="0.35">
      <c r="A17" s="3" t="s">
        <v>10</v>
      </c>
      <c r="B17" s="2" t="s">
        <v>142</v>
      </c>
      <c r="C17" s="2" t="s">
        <v>153</v>
      </c>
      <c r="D17" s="2" t="s">
        <v>107</v>
      </c>
      <c r="E17" s="3" t="s">
        <v>2</v>
      </c>
      <c r="G17">
        <v>192.66171</v>
      </c>
      <c r="H17">
        <v>184.90898000000001</v>
      </c>
      <c r="I17">
        <v>278.08467000000002</v>
      </c>
      <c r="T17" s="34">
        <v>145.7782</v>
      </c>
      <c r="U17" s="34">
        <v>54.552979999999998</v>
      </c>
      <c r="V17" s="34">
        <v>66.576080000000005</v>
      </c>
    </row>
    <row r="18" spans="1:22" x14ac:dyDescent="0.35">
      <c r="A18" s="3" t="s">
        <v>20</v>
      </c>
      <c r="B18" s="2" t="s">
        <v>142</v>
      </c>
      <c r="C18" s="2" t="s">
        <v>84</v>
      </c>
      <c r="D18" s="2" t="s">
        <v>107</v>
      </c>
      <c r="E18" s="3" t="s">
        <v>2</v>
      </c>
      <c r="G18">
        <v>0</v>
      </c>
      <c r="H18">
        <v>0</v>
      </c>
      <c r="I18">
        <v>0</v>
      </c>
      <c r="T18" s="34">
        <v>0</v>
      </c>
      <c r="U18" s="34">
        <v>0</v>
      </c>
      <c r="V18" s="34">
        <v>0</v>
      </c>
    </row>
    <row r="19" spans="1:22" x14ac:dyDescent="0.35">
      <c r="A19" s="3" t="s">
        <v>43</v>
      </c>
      <c r="B19" s="2" t="s">
        <v>143</v>
      </c>
      <c r="C19" s="2" t="s">
        <v>155</v>
      </c>
      <c r="D19" s="2" t="s">
        <v>107</v>
      </c>
      <c r="E19" s="3" t="s">
        <v>72</v>
      </c>
      <c r="G19">
        <v>5.0739999999999998</v>
      </c>
      <c r="H19">
        <v>12.685</v>
      </c>
      <c r="I19">
        <v>11.90325</v>
      </c>
      <c r="T19" s="34">
        <v>18.349</v>
      </c>
      <c r="U19" s="34">
        <v>41.954999999999998</v>
      </c>
      <c r="V19" s="34">
        <v>6.2504999999999997</v>
      </c>
    </row>
    <row r="20" spans="1:22" x14ac:dyDescent="0.35">
      <c r="A20" s="3" t="s">
        <v>11</v>
      </c>
      <c r="B20" s="2" t="s">
        <v>142</v>
      </c>
      <c r="C20" s="2" t="s">
        <v>83</v>
      </c>
      <c r="D20" s="2" t="s">
        <v>107</v>
      </c>
      <c r="E20" s="3" t="s">
        <v>2</v>
      </c>
      <c r="G20">
        <v>33.001609999999999</v>
      </c>
      <c r="H20">
        <v>33.001609999999999</v>
      </c>
      <c r="I20">
        <v>20.862459999999999</v>
      </c>
      <c r="T20" s="34">
        <v>0</v>
      </c>
      <c r="U20" s="34">
        <v>33.001609999999999</v>
      </c>
      <c r="V20" s="34">
        <v>11.25164</v>
      </c>
    </row>
    <row r="21" spans="1:22" x14ac:dyDescent="0.35">
      <c r="A21" s="3" t="s">
        <v>12</v>
      </c>
      <c r="B21" s="2" t="s">
        <v>142</v>
      </c>
      <c r="C21" s="2" t="s">
        <v>149</v>
      </c>
      <c r="D21" s="2" t="s">
        <v>107</v>
      </c>
      <c r="E21" s="3" t="s">
        <v>2</v>
      </c>
      <c r="G21">
        <v>69.169240000000002</v>
      </c>
      <c r="H21">
        <v>69.231210000000004</v>
      </c>
      <c r="I21">
        <v>125.17650999999999</v>
      </c>
      <c r="T21" s="34">
        <v>0</v>
      </c>
      <c r="U21" s="34">
        <v>237.30978999999999</v>
      </c>
      <c r="V21" s="34">
        <v>0</v>
      </c>
    </row>
    <row r="22" spans="1:22" x14ac:dyDescent="0.35">
      <c r="A22" s="3" t="s">
        <v>22</v>
      </c>
      <c r="B22" s="2" t="s">
        <v>142</v>
      </c>
      <c r="C22" s="2" t="s">
        <v>149</v>
      </c>
      <c r="D22" s="2" t="s">
        <v>107</v>
      </c>
      <c r="E22" s="3" t="s">
        <v>2</v>
      </c>
      <c r="G22">
        <v>0</v>
      </c>
      <c r="H22">
        <v>0</v>
      </c>
      <c r="I22">
        <v>0</v>
      </c>
      <c r="T22" s="34">
        <v>0</v>
      </c>
      <c r="U22" s="34">
        <v>0</v>
      </c>
      <c r="V22" s="34">
        <v>0</v>
      </c>
    </row>
    <row r="23" spans="1:22" x14ac:dyDescent="0.35">
      <c r="A23" s="3" t="s">
        <v>44</v>
      </c>
      <c r="B23" s="2" t="s">
        <v>146</v>
      </c>
      <c r="C23" s="2" t="s">
        <v>154</v>
      </c>
      <c r="D23" s="2" t="s">
        <v>107</v>
      </c>
      <c r="E23" s="3" t="s">
        <v>70</v>
      </c>
      <c r="G23">
        <v>29.854939999999999</v>
      </c>
      <c r="H23">
        <v>31.197189999999999</v>
      </c>
      <c r="I23">
        <v>31.197189999999999</v>
      </c>
      <c r="T23" s="34">
        <v>0</v>
      </c>
      <c r="U23" s="34">
        <v>0</v>
      </c>
      <c r="V23" s="34">
        <v>0</v>
      </c>
    </row>
    <row r="24" spans="1:22" x14ac:dyDescent="0.35">
      <c r="A24" s="3" t="s">
        <v>45</v>
      </c>
      <c r="B24" s="2" t="s">
        <v>142</v>
      </c>
      <c r="C24" s="2" t="s">
        <v>127</v>
      </c>
      <c r="D24" s="2" t="s">
        <v>107</v>
      </c>
      <c r="E24" s="3" t="s">
        <v>85</v>
      </c>
      <c r="G24">
        <v>102.73174</v>
      </c>
      <c r="H24">
        <v>107.94423</v>
      </c>
      <c r="I24">
        <v>109.82378</v>
      </c>
      <c r="T24" s="34">
        <v>0.31859999999999999</v>
      </c>
      <c r="U24" s="34">
        <v>6.2356999999999996E-2</v>
      </c>
      <c r="V24" s="34">
        <v>78.185699999999997</v>
      </c>
    </row>
    <row r="25" spans="1:22" x14ac:dyDescent="0.35">
      <c r="A25" s="3" t="s">
        <v>3</v>
      </c>
      <c r="B25" s="2" t="s">
        <v>142</v>
      </c>
      <c r="C25" s="2" t="s">
        <v>83</v>
      </c>
      <c r="D25" s="2" t="s">
        <v>107</v>
      </c>
      <c r="E25" s="3" t="s">
        <v>2</v>
      </c>
      <c r="G25">
        <v>19.528680000000001</v>
      </c>
      <c r="H25">
        <v>26.641570000000002</v>
      </c>
      <c r="I25">
        <v>46.514189999999999</v>
      </c>
      <c r="T25" s="34">
        <v>0</v>
      </c>
      <c r="U25" s="34">
        <v>0</v>
      </c>
      <c r="V25" s="34">
        <v>11.244590000000001</v>
      </c>
    </row>
    <row r="26" spans="1:22" x14ac:dyDescent="0.35">
      <c r="A26" s="3" t="s">
        <v>46</v>
      </c>
      <c r="B26" s="2" t="s">
        <v>146</v>
      </c>
      <c r="C26" s="2" t="s">
        <v>146</v>
      </c>
      <c r="D26" s="2" t="s">
        <v>107</v>
      </c>
      <c r="E26" s="3" t="s">
        <v>70</v>
      </c>
      <c r="G26">
        <v>0</v>
      </c>
      <c r="H26">
        <v>80.457930000000005</v>
      </c>
      <c r="I26">
        <v>80.457930000000005</v>
      </c>
      <c r="T26" s="34">
        <v>0</v>
      </c>
      <c r="U26" s="34">
        <v>0</v>
      </c>
      <c r="V26" s="34">
        <v>0</v>
      </c>
    </row>
    <row r="27" spans="1:22" x14ac:dyDescent="0.35">
      <c r="A27" s="3" t="s">
        <v>63</v>
      </c>
      <c r="B27" s="2" t="s">
        <v>146</v>
      </c>
      <c r="C27" s="2" t="s">
        <v>84</v>
      </c>
      <c r="D27" s="2" t="s">
        <v>107</v>
      </c>
      <c r="E27" s="3" t="s">
        <v>70</v>
      </c>
      <c r="G27">
        <v>0</v>
      </c>
      <c r="H27">
        <v>0</v>
      </c>
      <c r="I27">
        <v>0</v>
      </c>
      <c r="T27" s="34">
        <v>0</v>
      </c>
      <c r="U27" s="34">
        <v>0</v>
      </c>
      <c r="V27" s="34">
        <v>0</v>
      </c>
    </row>
    <row r="28" spans="1:22" x14ac:dyDescent="0.35">
      <c r="A28" s="3" t="s">
        <v>47</v>
      </c>
      <c r="B28" s="2" t="s">
        <v>142</v>
      </c>
      <c r="C28" s="2" t="s">
        <v>127</v>
      </c>
      <c r="D28" s="2" t="s">
        <v>107</v>
      </c>
      <c r="E28" s="3" t="s">
        <v>85</v>
      </c>
      <c r="G28">
        <v>49.079369999999997</v>
      </c>
      <c r="H28">
        <v>49.669370000000001</v>
      </c>
      <c r="I28">
        <v>1.76999</v>
      </c>
      <c r="T28" s="34">
        <v>19.857710000000001</v>
      </c>
      <c r="U28" s="34">
        <v>74.202240000000003</v>
      </c>
      <c r="V28" s="34">
        <v>15.64432</v>
      </c>
    </row>
    <row r="29" spans="1:22" x14ac:dyDescent="0.35">
      <c r="A29" s="3" t="s">
        <v>5</v>
      </c>
      <c r="B29" s="2" t="s">
        <v>142</v>
      </c>
      <c r="C29" s="2" t="s">
        <v>83</v>
      </c>
      <c r="D29" s="2" t="s">
        <v>107</v>
      </c>
      <c r="E29" s="3" t="s">
        <v>2</v>
      </c>
      <c r="G29">
        <v>63.031059999999997</v>
      </c>
      <c r="H29">
        <v>53.64696</v>
      </c>
      <c r="I29">
        <v>26.540970000000002</v>
      </c>
      <c r="T29" s="34">
        <v>5.1576300000000002</v>
      </c>
      <c r="U29" s="34">
        <v>27.28755</v>
      </c>
      <c r="V29" s="34">
        <v>5.2176200000000001</v>
      </c>
    </row>
    <row r="30" spans="1:22" x14ac:dyDescent="0.35">
      <c r="A30" s="3" t="s">
        <v>21</v>
      </c>
      <c r="B30" s="2" t="s">
        <v>142</v>
      </c>
      <c r="C30" s="2" t="s">
        <v>84</v>
      </c>
      <c r="D30" s="2" t="s">
        <v>107</v>
      </c>
      <c r="E30" s="3" t="s">
        <v>2</v>
      </c>
      <c r="G30">
        <v>0</v>
      </c>
      <c r="H30">
        <v>0</v>
      </c>
      <c r="I30">
        <v>0</v>
      </c>
      <c r="T30" s="34">
        <v>0</v>
      </c>
      <c r="U30" s="34">
        <v>0</v>
      </c>
      <c r="V30" s="34">
        <v>0</v>
      </c>
    </row>
    <row r="31" spans="1:22" x14ac:dyDescent="0.35">
      <c r="A31" s="3" t="s">
        <v>48</v>
      </c>
      <c r="B31" s="2" t="s">
        <v>142</v>
      </c>
      <c r="C31" s="2" t="s">
        <v>127</v>
      </c>
      <c r="D31" s="2" t="s">
        <v>107</v>
      </c>
      <c r="E31" s="3" t="s">
        <v>85</v>
      </c>
      <c r="G31">
        <v>0</v>
      </c>
      <c r="H31">
        <v>0</v>
      </c>
      <c r="I31">
        <v>0</v>
      </c>
      <c r="T31" s="34">
        <v>79.234589999999997</v>
      </c>
      <c r="U31" s="34">
        <v>0</v>
      </c>
      <c r="V31" s="34">
        <v>0</v>
      </c>
    </row>
    <row r="32" spans="1:22" x14ac:dyDescent="0.35">
      <c r="A32" s="3" t="s">
        <v>14</v>
      </c>
      <c r="B32" s="2" t="s">
        <v>142</v>
      </c>
      <c r="C32" s="2" t="s">
        <v>83</v>
      </c>
      <c r="D32" s="2" t="s">
        <v>107</v>
      </c>
      <c r="E32" s="3" t="s">
        <v>2</v>
      </c>
      <c r="G32">
        <v>0</v>
      </c>
      <c r="H32">
        <v>34.723619999999997</v>
      </c>
      <c r="I32">
        <v>0</v>
      </c>
      <c r="T32" s="34">
        <v>22.46106</v>
      </c>
      <c r="U32" s="34">
        <v>34.723619999999997</v>
      </c>
      <c r="V32" s="34">
        <v>33.368980000000001</v>
      </c>
    </row>
    <row r="33" spans="1:22" x14ac:dyDescent="0.35">
      <c r="A33" s="3" t="s">
        <v>15</v>
      </c>
      <c r="B33" s="2" t="s">
        <v>142</v>
      </c>
      <c r="C33" s="2" t="s">
        <v>83</v>
      </c>
      <c r="D33" s="2" t="s">
        <v>107</v>
      </c>
      <c r="E33" s="3" t="s">
        <v>2</v>
      </c>
      <c r="G33">
        <v>4.1712100000000003</v>
      </c>
      <c r="H33">
        <v>4.1712100000000003</v>
      </c>
      <c r="I33">
        <v>4.1712100000000003</v>
      </c>
      <c r="T33" s="34">
        <v>0</v>
      </c>
      <c r="U33" s="34">
        <v>0</v>
      </c>
      <c r="V33" s="34">
        <v>0</v>
      </c>
    </row>
    <row r="34" spans="1:22" x14ac:dyDescent="0.35">
      <c r="A34" s="3" t="s">
        <v>16</v>
      </c>
      <c r="B34" s="2" t="s">
        <v>142</v>
      </c>
      <c r="C34" s="2" t="s">
        <v>83</v>
      </c>
      <c r="D34" s="2" t="s">
        <v>107</v>
      </c>
      <c r="E34" s="3" t="s">
        <v>2</v>
      </c>
      <c r="G34">
        <v>0</v>
      </c>
      <c r="H34">
        <v>0.58031999999999995</v>
      </c>
      <c r="I34">
        <v>0</v>
      </c>
      <c r="T34" s="34">
        <v>3.8043200000000001</v>
      </c>
      <c r="U34" s="34">
        <v>4.0622400000000001</v>
      </c>
      <c r="V34" s="34">
        <v>0</v>
      </c>
    </row>
    <row r="35" spans="1:22" x14ac:dyDescent="0.35">
      <c r="A35" s="3" t="s">
        <v>49</v>
      </c>
      <c r="B35" s="2" t="s">
        <v>142</v>
      </c>
      <c r="C35" s="2" t="s">
        <v>83</v>
      </c>
      <c r="D35" s="2" t="s">
        <v>107</v>
      </c>
      <c r="E35" s="3" t="s">
        <v>2</v>
      </c>
      <c r="G35">
        <v>0</v>
      </c>
      <c r="H35">
        <v>3.4724499999999998</v>
      </c>
      <c r="I35">
        <v>13.613350000000001</v>
      </c>
      <c r="T35" s="34">
        <v>0</v>
      </c>
      <c r="U35" s="34">
        <v>0</v>
      </c>
      <c r="V35" s="34">
        <v>8.5037900000000004</v>
      </c>
    </row>
    <row r="36" spans="1:22" x14ac:dyDescent="0.35">
      <c r="A36" s="3" t="s">
        <v>17</v>
      </c>
      <c r="B36" s="2" t="s">
        <v>142</v>
      </c>
      <c r="C36" s="2" t="s">
        <v>83</v>
      </c>
      <c r="D36" s="2" t="s">
        <v>107</v>
      </c>
      <c r="E36" s="3" t="s">
        <v>2</v>
      </c>
      <c r="G36">
        <v>0.22192000000000001</v>
      </c>
      <c r="H36">
        <v>3.1316000000000002</v>
      </c>
      <c r="I36">
        <v>11.86904</v>
      </c>
      <c r="T36" s="34">
        <v>7.3135000000000003</v>
      </c>
      <c r="U36" s="34">
        <v>0</v>
      </c>
      <c r="V36" s="34">
        <v>0</v>
      </c>
    </row>
    <row r="37" spans="1:22" x14ac:dyDescent="0.35">
      <c r="A37" s="3" t="s">
        <v>18</v>
      </c>
      <c r="B37" s="2" t="s">
        <v>142</v>
      </c>
      <c r="C37" s="2" t="s">
        <v>83</v>
      </c>
      <c r="D37" s="2" t="s">
        <v>107</v>
      </c>
      <c r="E37" s="3" t="s">
        <v>2</v>
      </c>
      <c r="G37">
        <v>0</v>
      </c>
      <c r="H37">
        <v>0</v>
      </c>
      <c r="I37">
        <v>47.640430000000002</v>
      </c>
      <c r="T37" s="34">
        <v>38.47363</v>
      </c>
      <c r="U37" s="34">
        <v>0</v>
      </c>
      <c r="V37" s="34">
        <v>0</v>
      </c>
    </row>
    <row r="38" spans="1:22" x14ac:dyDescent="0.35">
      <c r="A38" s="3" t="s">
        <v>50</v>
      </c>
      <c r="B38" s="2" t="s">
        <v>146</v>
      </c>
      <c r="C38" s="2" t="s">
        <v>150</v>
      </c>
      <c r="D38" s="2" t="s">
        <v>107</v>
      </c>
      <c r="E38" s="3" t="s">
        <v>70</v>
      </c>
      <c r="G38">
        <v>0</v>
      </c>
      <c r="H38">
        <v>0</v>
      </c>
      <c r="I38">
        <v>0</v>
      </c>
      <c r="T38" s="34">
        <v>17.555409999999998</v>
      </c>
      <c r="U38" s="34">
        <v>14.72293</v>
      </c>
      <c r="V38" s="34">
        <v>0</v>
      </c>
    </row>
    <row r="39" spans="1:22" x14ac:dyDescent="0.35">
      <c r="A39" s="3" t="s">
        <v>6</v>
      </c>
      <c r="B39" s="2" t="s">
        <v>142</v>
      </c>
      <c r="C39" s="2" t="s">
        <v>83</v>
      </c>
      <c r="D39" s="2" t="s">
        <v>107</v>
      </c>
      <c r="E39" s="3" t="s">
        <v>2</v>
      </c>
      <c r="G39">
        <v>6.2717099999999997</v>
      </c>
      <c r="H39">
        <v>1.2401899999999999</v>
      </c>
      <c r="I39">
        <v>4.3217600000000003</v>
      </c>
      <c r="T39" s="34">
        <v>7.5477100000000004</v>
      </c>
      <c r="U39" s="34">
        <v>2.5171700000000001</v>
      </c>
      <c r="V39" s="34">
        <v>4.2485099999999996</v>
      </c>
    </row>
    <row r="40" spans="1:22" x14ac:dyDescent="0.35">
      <c r="A40" s="3" t="s">
        <v>51</v>
      </c>
      <c r="B40" s="2" t="s">
        <v>142</v>
      </c>
      <c r="C40" s="2" t="s">
        <v>127</v>
      </c>
      <c r="D40" s="2" t="s">
        <v>107</v>
      </c>
      <c r="E40" s="3" t="s">
        <v>85</v>
      </c>
      <c r="G40">
        <v>13.2814</v>
      </c>
      <c r="H40">
        <v>13.824400000000001</v>
      </c>
      <c r="I40">
        <v>10.346030000000001</v>
      </c>
      <c r="T40" s="34">
        <v>11.67193</v>
      </c>
      <c r="U40" s="34">
        <v>7.5303000000000004</v>
      </c>
      <c r="V40" s="34">
        <v>0</v>
      </c>
    </row>
    <row r="41" spans="1:22" x14ac:dyDescent="0.35">
      <c r="A41" s="3" t="s">
        <v>64</v>
      </c>
      <c r="B41" s="2" t="s">
        <v>142</v>
      </c>
      <c r="C41" s="2" t="s">
        <v>84</v>
      </c>
      <c r="D41" s="2" t="s">
        <v>107</v>
      </c>
      <c r="E41" s="3" t="s">
        <v>2</v>
      </c>
      <c r="G41">
        <v>0</v>
      </c>
      <c r="H41">
        <v>0</v>
      </c>
      <c r="I41">
        <v>0</v>
      </c>
      <c r="T41" s="34">
        <v>0</v>
      </c>
      <c r="U41" s="34">
        <v>0</v>
      </c>
      <c r="V41" s="34">
        <v>0</v>
      </c>
    </row>
    <row r="42" spans="1:22" x14ac:dyDescent="0.35">
      <c r="A42" s="3" t="s">
        <v>52</v>
      </c>
      <c r="B42" s="2" t="s">
        <v>142</v>
      </c>
      <c r="C42" s="2" t="s">
        <v>127</v>
      </c>
      <c r="D42" s="2" t="s">
        <v>107</v>
      </c>
      <c r="E42" s="3" t="s">
        <v>85</v>
      </c>
      <c r="G42">
        <v>0</v>
      </c>
      <c r="H42">
        <v>0</v>
      </c>
      <c r="I42">
        <v>13.747</v>
      </c>
      <c r="T42" s="34">
        <v>0</v>
      </c>
      <c r="U42" s="34">
        <v>10.215199999999999</v>
      </c>
      <c r="V42" s="34">
        <v>18.414999999999999</v>
      </c>
    </row>
    <row r="43" spans="1:22" x14ac:dyDescent="0.35">
      <c r="A43" s="3" t="s">
        <v>53</v>
      </c>
      <c r="B43" s="2" t="s">
        <v>146</v>
      </c>
      <c r="C43" s="2" t="s">
        <v>84</v>
      </c>
      <c r="D43" s="2" t="s">
        <v>107</v>
      </c>
      <c r="E43" s="3" t="s">
        <v>70</v>
      </c>
      <c r="G43">
        <v>0</v>
      </c>
      <c r="H43">
        <v>0</v>
      </c>
      <c r="I43">
        <v>1.4750000000000001</v>
      </c>
      <c r="T43" s="34">
        <v>0</v>
      </c>
      <c r="U43" s="34">
        <v>0</v>
      </c>
      <c r="V43" s="34">
        <v>1.35</v>
      </c>
    </row>
    <row r="44" spans="1:22" x14ac:dyDescent="0.35">
      <c r="A44" s="3" t="s">
        <v>54</v>
      </c>
      <c r="B44" s="2" t="s">
        <v>146</v>
      </c>
      <c r="C44" s="2" t="s">
        <v>154</v>
      </c>
      <c r="D44" s="2" t="s">
        <v>107</v>
      </c>
      <c r="E44" s="3" t="s">
        <v>70</v>
      </c>
      <c r="G44">
        <v>8.5328800000000005</v>
      </c>
      <c r="H44">
        <v>8.5328800000000005</v>
      </c>
      <c r="I44">
        <v>8.3970199999999995</v>
      </c>
      <c r="T44" s="34">
        <v>0</v>
      </c>
      <c r="U44" s="34">
        <v>0.13586000000000001</v>
      </c>
      <c r="V44" s="34">
        <v>0</v>
      </c>
    </row>
    <row r="45" spans="1:22" x14ac:dyDescent="0.35">
      <c r="A45" s="3" t="s">
        <v>55</v>
      </c>
      <c r="B45" s="2" t="s">
        <v>146</v>
      </c>
      <c r="C45" s="2" t="s">
        <v>152</v>
      </c>
      <c r="D45" s="2" t="s">
        <v>107</v>
      </c>
      <c r="E45" s="3" t="s">
        <v>70</v>
      </c>
      <c r="G45">
        <v>0.90624000000000005</v>
      </c>
      <c r="H45">
        <v>0</v>
      </c>
      <c r="I45">
        <v>8.4037199999999999</v>
      </c>
      <c r="T45" s="34">
        <v>0.90624000000000005</v>
      </c>
      <c r="U45" s="34">
        <v>0</v>
      </c>
      <c r="V45" s="34">
        <v>2.2472300000000001</v>
      </c>
    </row>
    <row r="46" spans="1:22" x14ac:dyDescent="0.35">
      <c r="A46" s="3" t="s">
        <v>56</v>
      </c>
      <c r="B46" s="2" t="s">
        <v>142</v>
      </c>
      <c r="C46" s="2" t="s">
        <v>83</v>
      </c>
      <c r="D46" s="2" t="s">
        <v>107</v>
      </c>
      <c r="E46" s="3" t="s">
        <v>2</v>
      </c>
      <c r="G46">
        <v>0</v>
      </c>
      <c r="H46">
        <v>0</v>
      </c>
      <c r="I46">
        <v>0</v>
      </c>
      <c r="T46" s="34">
        <v>22.59477</v>
      </c>
      <c r="U46" s="34">
        <v>0</v>
      </c>
      <c r="V46" s="34">
        <v>8.6276600000000006</v>
      </c>
    </row>
    <row r="47" spans="1:22" x14ac:dyDescent="0.35">
      <c r="A47" s="3" t="s">
        <v>57</v>
      </c>
      <c r="B47" s="2" t="s">
        <v>142</v>
      </c>
      <c r="C47" s="2" t="s">
        <v>83</v>
      </c>
      <c r="D47" s="2" t="s">
        <v>107</v>
      </c>
      <c r="E47" s="3" t="s">
        <v>2</v>
      </c>
      <c r="G47">
        <v>0</v>
      </c>
      <c r="H47">
        <v>0</v>
      </c>
      <c r="I47">
        <v>0</v>
      </c>
      <c r="T47" s="34">
        <v>3.0567199999999999</v>
      </c>
      <c r="U47" s="34">
        <v>7.8361999999999998</v>
      </c>
      <c r="V47" s="34">
        <v>0</v>
      </c>
    </row>
    <row r="48" spans="1:22" x14ac:dyDescent="0.35">
      <c r="A48" s="3" t="s">
        <v>58</v>
      </c>
      <c r="B48" s="2" t="s">
        <v>143</v>
      </c>
      <c r="C48" s="2" t="s">
        <v>143</v>
      </c>
      <c r="D48" s="2" t="s">
        <v>107</v>
      </c>
      <c r="E48" s="3" t="s">
        <v>72</v>
      </c>
      <c r="G48">
        <v>48.80097</v>
      </c>
      <c r="H48">
        <v>12.18061</v>
      </c>
      <c r="I48">
        <v>31.74935</v>
      </c>
      <c r="T48" s="34">
        <v>107.89127999999999</v>
      </c>
      <c r="U48" s="34">
        <v>58.929850000000002</v>
      </c>
      <c r="V48" s="34">
        <v>44.167200000000001</v>
      </c>
    </row>
    <row r="49" spans="1:22" x14ac:dyDescent="0.35">
      <c r="A49" s="3" t="s">
        <v>59</v>
      </c>
      <c r="B49" s="2" t="s">
        <v>142</v>
      </c>
      <c r="C49" s="2" t="s">
        <v>83</v>
      </c>
      <c r="D49" s="2" t="s">
        <v>108</v>
      </c>
      <c r="E49" s="3" t="s">
        <v>2</v>
      </c>
      <c r="G49">
        <v>2.6549999999999998</v>
      </c>
      <c r="H49">
        <v>19.31307</v>
      </c>
      <c r="I49">
        <v>19.31307</v>
      </c>
      <c r="T49" s="34">
        <v>0</v>
      </c>
      <c r="U49" s="34">
        <v>0</v>
      </c>
      <c r="V49" s="34">
        <v>0</v>
      </c>
    </row>
    <row r="50" spans="1:22" x14ac:dyDescent="0.35">
      <c r="A50" s="3" t="s">
        <v>82</v>
      </c>
      <c r="B50" s="2" t="s">
        <v>142</v>
      </c>
      <c r="C50" s="2" t="s">
        <v>127</v>
      </c>
      <c r="D50" s="2" t="s">
        <v>108</v>
      </c>
      <c r="E50" s="3" t="s">
        <v>85</v>
      </c>
      <c r="G50">
        <v>7.4033199999999999</v>
      </c>
      <c r="H50">
        <v>10.589320000000001</v>
      </c>
      <c r="I50">
        <v>0</v>
      </c>
      <c r="T50" s="34">
        <v>0</v>
      </c>
      <c r="U50" s="34">
        <v>10.589320000000001</v>
      </c>
      <c r="V50" s="34">
        <v>0</v>
      </c>
    </row>
    <row r="51" spans="1:22" x14ac:dyDescent="0.35">
      <c r="A51" s="3" t="s">
        <v>30</v>
      </c>
      <c r="B51" s="2" t="s">
        <v>142</v>
      </c>
      <c r="C51" s="2" t="s">
        <v>83</v>
      </c>
      <c r="D51" s="2" t="s">
        <v>108</v>
      </c>
      <c r="E51" s="3" t="s">
        <v>2</v>
      </c>
      <c r="G51">
        <v>0</v>
      </c>
      <c r="H51">
        <v>7.2256499999999999</v>
      </c>
      <c r="I51">
        <v>7.2256499999999999</v>
      </c>
      <c r="T51" s="34">
        <v>0</v>
      </c>
      <c r="U51" s="34">
        <v>0</v>
      </c>
      <c r="V51" s="34">
        <v>0</v>
      </c>
    </row>
    <row r="52" spans="1:22" x14ac:dyDescent="0.35">
      <c r="A52" s="3" t="s">
        <v>19</v>
      </c>
      <c r="B52" s="2" t="s">
        <v>142</v>
      </c>
      <c r="C52" s="2" t="s">
        <v>84</v>
      </c>
      <c r="D52" s="2" t="s">
        <v>107</v>
      </c>
      <c r="E52" s="3" t="s">
        <v>2</v>
      </c>
      <c r="G52">
        <v>0</v>
      </c>
      <c r="H52">
        <v>0</v>
      </c>
      <c r="I52">
        <v>0</v>
      </c>
      <c r="T52" s="34">
        <v>0</v>
      </c>
      <c r="U52" s="34">
        <v>0</v>
      </c>
      <c r="V52" s="34">
        <v>0</v>
      </c>
    </row>
    <row r="53" spans="1:22" x14ac:dyDescent="0.35">
      <c r="A53" s="3" t="s">
        <v>61</v>
      </c>
      <c r="B53" s="2" t="s">
        <v>142</v>
      </c>
      <c r="C53" s="2" t="s">
        <v>84</v>
      </c>
      <c r="D53" s="2" t="s">
        <v>107</v>
      </c>
      <c r="E53" s="3" t="s">
        <v>2</v>
      </c>
      <c r="G53">
        <v>0</v>
      </c>
      <c r="H53">
        <v>0</v>
      </c>
      <c r="I53">
        <v>0</v>
      </c>
      <c r="T53" s="34">
        <v>0</v>
      </c>
      <c r="U53" s="34">
        <v>0</v>
      </c>
      <c r="V53" s="34">
        <v>0</v>
      </c>
    </row>
    <row r="54" spans="1:22" x14ac:dyDescent="0.35">
      <c r="A54" s="3" t="s">
        <v>62</v>
      </c>
      <c r="B54" s="2" t="s">
        <v>146</v>
      </c>
      <c r="C54" s="2" t="s">
        <v>84</v>
      </c>
      <c r="D54" s="2" t="s">
        <v>107</v>
      </c>
      <c r="E54" s="3" t="s">
        <v>70</v>
      </c>
      <c r="G54">
        <v>0</v>
      </c>
      <c r="H54">
        <v>0</v>
      </c>
      <c r="I54">
        <v>0</v>
      </c>
      <c r="T54" s="34">
        <v>0</v>
      </c>
      <c r="U54" s="34">
        <v>0</v>
      </c>
      <c r="V54" s="34">
        <v>0</v>
      </c>
    </row>
    <row r="55" spans="1:22" x14ac:dyDescent="0.35">
      <c r="A55" s="3" t="s">
        <v>65</v>
      </c>
      <c r="B55" s="2" t="s">
        <v>142</v>
      </c>
      <c r="C55" s="2" t="s">
        <v>127</v>
      </c>
      <c r="D55" s="2" t="s">
        <v>108</v>
      </c>
      <c r="E55" s="3" t="s">
        <v>85</v>
      </c>
      <c r="G55">
        <v>0</v>
      </c>
      <c r="H55">
        <v>0</v>
      </c>
      <c r="I55">
        <v>10.733280000000001</v>
      </c>
      <c r="T55" s="34">
        <v>0</v>
      </c>
      <c r="U55" s="34">
        <v>0</v>
      </c>
      <c r="V55" s="34">
        <v>0</v>
      </c>
    </row>
    <row r="56" spans="1:22" x14ac:dyDescent="0.35">
      <c r="A56" s="3" t="s">
        <v>122</v>
      </c>
      <c r="B56" s="2" t="s">
        <v>142</v>
      </c>
      <c r="C56" s="2" t="s">
        <v>127</v>
      </c>
      <c r="D56" s="2" t="s">
        <v>108</v>
      </c>
      <c r="E56" s="3" t="s">
        <v>85</v>
      </c>
      <c r="G56">
        <v>0</v>
      </c>
      <c r="H56">
        <v>0</v>
      </c>
      <c r="I56">
        <v>0</v>
      </c>
      <c r="T56" s="34">
        <v>0</v>
      </c>
      <c r="U56" s="34">
        <v>0</v>
      </c>
      <c r="V56" s="34">
        <v>0</v>
      </c>
    </row>
    <row r="57" spans="1:22" x14ac:dyDescent="0.35">
      <c r="A57" s="3" t="s">
        <v>66</v>
      </c>
      <c r="B57" s="2" t="s">
        <v>143</v>
      </c>
      <c r="C57" s="2" t="s">
        <v>143</v>
      </c>
      <c r="D57" s="2" t="s">
        <v>107</v>
      </c>
      <c r="E57" s="3" t="s">
        <v>66</v>
      </c>
      <c r="G57">
        <v>1.75278</v>
      </c>
      <c r="H57">
        <v>3.9618099999999998</v>
      </c>
      <c r="I57">
        <v>6.6078999999999999</v>
      </c>
      <c r="T57" s="34">
        <v>0</v>
      </c>
      <c r="U57" s="34">
        <v>0</v>
      </c>
      <c r="V57" s="34">
        <v>0</v>
      </c>
    </row>
    <row r="58" spans="1:22" x14ac:dyDescent="0.35">
      <c r="A58" s="3" t="s">
        <v>67</v>
      </c>
      <c r="B58" s="2" t="s">
        <v>147</v>
      </c>
      <c r="C58" s="2" t="s">
        <v>147</v>
      </c>
      <c r="D58" s="2" t="s">
        <v>107</v>
      </c>
      <c r="E58" s="3" t="s">
        <v>67</v>
      </c>
      <c r="G58">
        <v>0</v>
      </c>
      <c r="H58">
        <v>0</v>
      </c>
      <c r="I58">
        <v>0</v>
      </c>
      <c r="T58" s="34">
        <v>0</v>
      </c>
      <c r="U58" s="34">
        <v>0</v>
      </c>
      <c r="V58" s="34">
        <v>0</v>
      </c>
    </row>
    <row r="59" spans="1:22" x14ac:dyDescent="0.35">
      <c r="A59" s="16" t="s">
        <v>86</v>
      </c>
      <c r="B59" s="2" t="s">
        <v>142</v>
      </c>
      <c r="C59" s="2" t="s">
        <v>83</v>
      </c>
      <c r="D59" s="2" t="s">
        <v>108</v>
      </c>
      <c r="E59" s="16" t="s">
        <v>2</v>
      </c>
      <c r="G59">
        <v>0</v>
      </c>
      <c r="H59">
        <v>0</v>
      </c>
      <c r="I59">
        <v>0</v>
      </c>
      <c r="T59" s="34">
        <v>0</v>
      </c>
      <c r="U59" s="34">
        <v>0</v>
      </c>
      <c r="V59" s="34">
        <v>0</v>
      </c>
    </row>
    <row r="60" spans="1:22" x14ac:dyDescent="0.35">
      <c r="A60" s="16" t="s">
        <v>87</v>
      </c>
      <c r="B60" s="2" t="s">
        <v>142</v>
      </c>
      <c r="C60" s="2" t="s">
        <v>83</v>
      </c>
      <c r="D60" s="2" t="s">
        <v>108</v>
      </c>
      <c r="E60" s="16" t="s">
        <v>2</v>
      </c>
      <c r="G60">
        <v>2.29799</v>
      </c>
      <c r="H60">
        <v>0</v>
      </c>
      <c r="I60">
        <v>0</v>
      </c>
      <c r="T60" s="34">
        <v>2.3548499999999999</v>
      </c>
      <c r="U60" s="34">
        <v>0</v>
      </c>
      <c r="V60" s="34">
        <v>0</v>
      </c>
    </row>
    <row r="61" spans="1:22" x14ac:dyDescent="0.35">
      <c r="A61" s="16" t="s">
        <v>109</v>
      </c>
      <c r="B61" s="2" t="s">
        <v>109</v>
      </c>
      <c r="C61" s="2" t="s">
        <v>109</v>
      </c>
      <c r="D61" s="2" t="s">
        <v>107</v>
      </c>
      <c r="E61" s="16" t="s">
        <v>109</v>
      </c>
      <c r="G61">
        <v>0</v>
      </c>
      <c r="H61">
        <v>0</v>
      </c>
      <c r="I61">
        <v>0</v>
      </c>
      <c r="T61" s="34">
        <v>0</v>
      </c>
      <c r="U61" s="34">
        <v>0</v>
      </c>
      <c r="V61" s="34">
        <v>0</v>
      </c>
    </row>
    <row r="62" spans="1:22" x14ac:dyDescent="0.35">
      <c r="A62" s="16" t="s">
        <v>110</v>
      </c>
      <c r="B62" s="2" t="s">
        <v>148</v>
      </c>
      <c r="C62" s="2" t="s">
        <v>148</v>
      </c>
      <c r="D62" s="23" t="s">
        <v>107</v>
      </c>
      <c r="E62" s="16" t="s">
        <v>111</v>
      </c>
      <c r="G62">
        <v>0</v>
      </c>
      <c r="H62">
        <v>0</v>
      </c>
      <c r="I62">
        <v>0</v>
      </c>
      <c r="T62" s="34">
        <v>0</v>
      </c>
      <c r="U62" s="34">
        <v>0</v>
      </c>
      <c r="V62" s="34">
        <v>0</v>
      </c>
    </row>
    <row r="63" spans="1:22" x14ac:dyDescent="0.35">
      <c r="A63" s="16" t="s">
        <v>118</v>
      </c>
      <c r="B63" s="2" t="s">
        <v>146</v>
      </c>
      <c r="C63" s="2" t="s">
        <v>119</v>
      </c>
      <c r="D63" s="23" t="s">
        <v>108</v>
      </c>
      <c r="E63" s="16" t="s">
        <v>85</v>
      </c>
      <c r="G63">
        <v>0</v>
      </c>
      <c r="H63">
        <v>0</v>
      </c>
      <c r="I63">
        <v>1.2507999999999999</v>
      </c>
      <c r="T63" s="34">
        <v>0</v>
      </c>
      <c r="U63" s="34">
        <v>0</v>
      </c>
      <c r="V63" s="34">
        <v>0</v>
      </c>
    </row>
    <row r="64" spans="1:22" x14ac:dyDescent="0.35">
      <c r="A64" s="16" t="s">
        <v>120</v>
      </c>
      <c r="B64" s="2" t="s">
        <v>146</v>
      </c>
      <c r="C64" s="2" t="s">
        <v>154</v>
      </c>
      <c r="D64" s="23" t="s">
        <v>107</v>
      </c>
      <c r="E64" s="16" t="s">
        <v>70</v>
      </c>
      <c r="G64">
        <v>5.3819499999999998</v>
      </c>
      <c r="H64">
        <v>5.3819499999999998</v>
      </c>
      <c r="I64">
        <v>5.3819499999999998</v>
      </c>
      <c r="T64" s="34">
        <v>0</v>
      </c>
      <c r="U64" s="34">
        <v>0</v>
      </c>
      <c r="V64" s="34">
        <v>0</v>
      </c>
    </row>
    <row r="65" spans="1:22" x14ac:dyDescent="0.35">
      <c r="A65" s="16" t="s">
        <v>138</v>
      </c>
      <c r="B65" s="2" t="s">
        <v>142</v>
      </c>
      <c r="C65" s="2" t="s">
        <v>83</v>
      </c>
      <c r="D65" s="23" t="s">
        <v>107</v>
      </c>
      <c r="E65" s="16" t="s">
        <v>2</v>
      </c>
      <c r="G65">
        <v>0.61626000000000003</v>
      </c>
      <c r="H65">
        <v>0.61626000000000003</v>
      </c>
      <c r="I65">
        <v>0.61626000000000003</v>
      </c>
      <c r="T65" s="34">
        <v>0</v>
      </c>
      <c r="U65" s="34">
        <v>0</v>
      </c>
      <c r="V65" s="34">
        <v>0</v>
      </c>
    </row>
    <row r="66" spans="1:22" x14ac:dyDescent="0.35">
      <c r="A66" s="16" t="s">
        <v>139</v>
      </c>
      <c r="B66" s="2" t="s">
        <v>146</v>
      </c>
      <c r="C66" s="2" t="s">
        <v>150</v>
      </c>
      <c r="D66" s="23" t="s">
        <v>107</v>
      </c>
      <c r="E66" s="16" t="s">
        <v>70</v>
      </c>
      <c r="G66">
        <v>12.460800000000001</v>
      </c>
      <c r="H66">
        <v>6.2304000000000004</v>
      </c>
      <c r="I66">
        <v>6.2304000000000004</v>
      </c>
      <c r="T66" s="34">
        <v>0</v>
      </c>
      <c r="U66" s="34">
        <v>0</v>
      </c>
      <c r="V66" s="34">
        <v>0</v>
      </c>
    </row>
    <row r="67" spans="1:22" x14ac:dyDescent="0.35">
      <c r="A67" s="16" t="s">
        <v>140</v>
      </c>
      <c r="B67" s="2" t="s">
        <v>142</v>
      </c>
      <c r="C67" s="2" t="s">
        <v>83</v>
      </c>
      <c r="D67" s="23" t="s">
        <v>107</v>
      </c>
      <c r="E67" s="16" t="s">
        <v>2</v>
      </c>
      <c r="G67">
        <v>2.5488</v>
      </c>
      <c r="H67">
        <v>2.5488</v>
      </c>
      <c r="I67">
        <v>2.5488</v>
      </c>
      <c r="T67" s="34">
        <v>0</v>
      </c>
      <c r="U67" s="34">
        <v>0</v>
      </c>
      <c r="V67" s="34">
        <v>0</v>
      </c>
    </row>
    <row r="68" spans="1:22" x14ac:dyDescent="0.35">
      <c r="A68" s="16" t="s">
        <v>141</v>
      </c>
      <c r="B68" s="2" t="s">
        <v>146</v>
      </c>
      <c r="C68" s="2" t="s">
        <v>146</v>
      </c>
      <c r="D68" s="23" t="s">
        <v>107</v>
      </c>
      <c r="E68" s="16" t="s">
        <v>70</v>
      </c>
      <c r="G68">
        <v>1.6637999999999999</v>
      </c>
      <c r="H68">
        <v>0</v>
      </c>
      <c r="I68">
        <v>0</v>
      </c>
      <c r="T68" s="34">
        <v>0</v>
      </c>
      <c r="U68" s="34">
        <v>0</v>
      </c>
      <c r="V68" s="34">
        <v>0</v>
      </c>
    </row>
  </sheetData>
  <mergeCells count="2">
    <mergeCell ref="G1:R1"/>
    <mergeCell ref="T1:AE1"/>
  </mergeCells>
  <conditionalFormatting sqref="A3:A6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Actual</vt:lpstr>
      <vt:lpstr>Collection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Baljeet Singh</dc:creator>
  <cp:lastModifiedBy>Baljeet Singh</cp:lastModifiedBy>
  <dcterms:created xsi:type="dcterms:W3CDTF">2026-05-08T03:40:29Z</dcterms:created>
  <dcterms:modified xsi:type="dcterms:W3CDTF">2026-06-26T05:17:16Z</dcterms:modified>
</cp:coreProperties>
</file>