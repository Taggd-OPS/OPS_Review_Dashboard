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809" documentId="8_{231760F8-40C3-4E52-9138-CD9DD8E2170C}" xr6:coauthVersionLast="47" xr6:coauthVersionMax="47" xr10:uidLastSave="{82084BC5-C749-4248-AEA7-38FBCBD28A37}"/>
  <bookViews>
    <workbookView xWindow="-110" yWindow="-110" windowWidth="19420" windowHeight="11500" activeTab="1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Actual!$A$2:$AO$61</definedName>
    <definedName name="_xlnm._FilterDatabase" localSheetId="0" hidden="1">Sheet1!$A$2:$BZ$61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0" i="2" l="1"/>
  <c r="P22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R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J61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<sst xmlns="http://schemas.openxmlformats.org/spreadsheetml/2006/main" count="1083" uniqueCount="129">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</sst>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workbookViewId="0">
      <pane xSplit="1" ySplit="2" topLeftCell="D42" activePane="bottomRight" state="frozen"/>
      <selection pane="topRight" activeCell="B1" sqref="B1"/>
      <selection pane="bottomLeft" activeCell="A3" sqref="A3"/>
      <selection pane="bottomRight" activeCell="G1" sqref="G1:P61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9" t="s">
        <v>24</v>
      </c>
      <c r="H1" s="29"/>
      <c r="I1" s="29"/>
      <c r="J1" s="29"/>
      <c r="K1" s="29"/>
      <c r="L1" s="29"/>
      <c r="M1" s="29"/>
      <c r="N1" s="29"/>
      <c r="O1" s="29"/>
      <c r="P1" s="29"/>
      <c r="R1" s="29" t="s">
        <v>29</v>
      </c>
      <c r="S1" s="29"/>
      <c r="T1" s="29"/>
      <c r="U1" s="29"/>
      <c r="V1" s="29"/>
      <c r="W1" s="29"/>
      <c r="X1" s="29"/>
      <c r="Y1" s="29"/>
      <c r="Z1" s="29"/>
      <c r="AA1" s="29"/>
      <c r="AC1" s="29" t="s">
        <v>31</v>
      </c>
      <c r="AD1" s="29"/>
      <c r="AE1" s="29"/>
      <c r="AF1" s="29"/>
      <c r="AG1" s="29"/>
      <c r="AH1" s="29"/>
      <c r="AI1" s="29"/>
      <c r="AJ1" s="29"/>
      <c r="AK1" s="29"/>
      <c r="AL1" s="29"/>
      <c r="AN1" s="29" t="s">
        <v>32</v>
      </c>
      <c r="AO1" s="29"/>
      <c r="AP1" s="29"/>
      <c r="AQ1" s="29"/>
      <c r="AR1" s="29"/>
      <c r="AS1" s="29"/>
      <c r="AT1" s="29"/>
      <c r="AU1" s="29"/>
      <c r="AV1" s="29"/>
      <c r="AW1" s="29"/>
      <c r="AY1" s="30" t="s">
        <v>33</v>
      </c>
      <c r="AZ1" s="30"/>
      <c r="BA1" s="30"/>
      <c r="BB1" s="30"/>
      <c r="BC1" s="30"/>
      <c r="BD1" s="30"/>
      <c r="BE1" s="30"/>
      <c r="BF1" s="30"/>
      <c r="BG1" s="30"/>
      <c r="BH1" s="30"/>
      <c r="BJ1" s="29" t="s">
        <v>76</v>
      </c>
      <c r="BK1" s="29"/>
      <c r="BL1" s="29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1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240.4</v>
      </c>
      <c r="BA38" s="17">
        <f t="shared" si="7"/>
        <v>88.967750474779336</v>
      </c>
      <c r="BB38" s="4">
        <f t="shared" si="8"/>
        <v>0.37008215671705214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R60" s="28">
        <f>506+12</f>
        <v>518</v>
      </c>
      <c r="X60" s="17"/>
      <c r="AC60" s="16">
        <f>759+12</f>
        <v>771</v>
      </c>
      <c r="AH60">
        <v>0</v>
      </c>
      <c r="AI60" s="17"/>
      <c r="AN60" s="24">
        <f>1013+12</f>
        <v>1025</v>
      </c>
      <c r="AY60" s="17">
        <f t="shared" si="5"/>
        <v>2531</v>
      </c>
      <c r="AZ60" s="17">
        <f t="shared" si="6"/>
        <v>0</v>
      </c>
      <c r="BA60" s="18"/>
      <c r="BB60" s="22"/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8"/>
      <c r="H61" s="27">
        <v>25</v>
      </c>
      <c r="I61" s="27">
        <v>18.829519600000001</v>
      </c>
      <c r="J61" s="25">
        <f>(H61-I61)/H61</f>
        <v>0.24681921599999995</v>
      </c>
      <c r="K61">
        <v>117684.4975</v>
      </c>
      <c r="L61" s="24">
        <v>5.2</v>
      </c>
      <c r="R61" s="18"/>
      <c r="S61" s="18"/>
      <c r="T61" s="18"/>
      <c r="AD61" s="18"/>
      <c r="AE61" s="18"/>
      <c r="AO61" s="18"/>
      <c r="AZ61" s="17">
        <f t="shared" si="6"/>
        <v>25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1"/>
  <sheetViews>
    <sheetView tabSelected="1"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0" hidden="1" customWidth="1"/>
    <col min="4" max="4" width="13.54296875" hidden="1" customWidth="1"/>
    <col min="5" max="5" width="0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9" t="s">
        <v>123</v>
      </c>
      <c r="H1" s="29"/>
      <c r="I1" s="29"/>
      <c r="J1" s="29"/>
      <c r="K1" s="29"/>
      <c r="L1" s="29"/>
      <c r="M1" s="29"/>
      <c r="N1" s="29"/>
      <c r="O1" s="29"/>
      <c r="P1" s="29"/>
      <c r="Q1" s="29"/>
      <c r="S1" s="29" t="s">
        <v>125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E1" s="29" t="s">
        <v>126</v>
      </c>
      <c r="AF1" s="29"/>
      <c r="AG1" s="29"/>
      <c r="AH1" s="29"/>
      <c r="AI1" s="29"/>
      <c r="AJ1" s="29"/>
      <c r="AK1" s="29"/>
      <c r="AL1" s="29"/>
      <c r="AM1" s="29"/>
      <c r="AN1" s="29"/>
      <c r="AO1" s="29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7.9985999999999997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13.11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1.85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9.6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6.5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9.25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2.7114332000000001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13.649999999999999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14.3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v>117.71541000000001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v>117.71541000000001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124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25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12.190000000000001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7.09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34.880000000000003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48.080000000000005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2.4849999999999999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2.8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8.26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9.8000000000000007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9.6999999999999993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12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12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14.4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8.6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6.8759999999999994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28.8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13.7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28.75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22.75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0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1.1599999999999999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8.3000000000000007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7.76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24.3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21.8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3.4450040000000004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8.6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9.3000000000000007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10.02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8.14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8.4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6.4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2.33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1.35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10.32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3.37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2.25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1.5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4">
        <v>0</v>
      </c>
      <c r="M60" s="17"/>
      <c r="S60" s="14">
        <v>72.333333333333329</v>
      </c>
      <c r="T60" s="17">
        <v>0</v>
      </c>
      <c r="U60" s="3"/>
      <c r="V60" s="4"/>
      <c r="W60" s="16"/>
      <c r="X60" s="24"/>
      <c r="Y60" s="17"/>
      <c r="AE60" s="14">
        <v>72.3</v>
      </c>
      <c r="AF60" s="17">
        <v>0</v>
      </c>
      <c r="AG60" s="3"/>
      <c r="AH60" s="4"/>
      <c r="AI60" s="16"/>
      <c r="AJ60" s="24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4">
        <v>5.2</v>
      </c>
      <c r="S61" s="14">
        <v>0</v>
      </c>
      <c r="T61" s="17">
        <v>12.5</v>
      </c>
      <c r="U61" s="3"/>
      <c r="V61" s="4"/>
      <c r="X61" s="24"/>
      <c r="AE61" s="14">
        <v>0</v>
      </c>
      <c r="AF61" s="17">
        <v>12.5</v>
      </c>
      <c r="AG61" s="3"/>
      <c r="AH61" s="4"/>
      <c r="AJ61" s="24"/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2026-05-19T10:36:23Z</dcterms:modified>
</cp:coreProperties>
</file>