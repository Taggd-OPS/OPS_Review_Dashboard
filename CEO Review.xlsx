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2474" documentId="8_{231760F8-40C3-4E52-9138-CD9DD8E2170C}" xr6:coauthVersionLast="47" xr6:coauthVersionMax="47" xr10:uidLastSave="{BA4947A4-870C-4BD8-A9E1-37F51554CF8B}"/>
  <bookViews>
    <workbookView xWindow="-110" yWindow="-110" windowWidth="19420" windowHeight="11500" activeTab="1" xr2:uid="{F2C8E0B5-D69E-42FC-A0A4-20379F29D696}"/>
  </bookViews>
  <sheets>
    <sheet name="Sheet1" sheetId="1" r:id="rId1"/>
    <sheet name="Actual" sheetId="2" r:id="rId2"/>
  </sheets>
  <definedNames>
    <definedName name="_xlnm._FilterDatabase" localSheetId="1" hidden="1">Actual!$A$2:$AX$64</definedName>
    <definedName name="_xlnm._FilterDatabase" localSheetId="0" hidden="1">Sheet1!$A$2:$CO$62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4" i="2" l="1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3" i="2"/>
  <c r="N12" i="2" l="1"/>
  <c r="M12" i="2"/>
  <c r="N63" i="2"/>
  <c r="M63" i="2"/>
  <c r="N49" i="2"/>
  <c r="M49" i="2"/>
  <c r="N35" i="2"/>
  <c r="M35" i="2"/>
  <c r="N21" i="2"/>
  <c r="M21" i="2"/>
  <c r="N7" i="2"/>
  <c r="M7" i="2"/>
  <c r="N62" i="2"/>
  <c r="M62" i="2"/>
  <c r="N48" i="2"/>
  <c r="M48" i="2"/>
  <c r="N34" i="2"/>
  <c r="M34" i="2"/>
  <c r="N20" i="2"/>
  <c r="M20" i="2"/>
  <c r="N6" i="2"/>
  <c r="M6" i="2"/>
  <c r="N61" i="2"/>
  <c r="M61" i="2"/>
  <c r="N47" i="2"/>
  <c r="M47" i="2"/>
  <c r="N33" i="2"/>
  <c r="M33" i="2"/>
  <c r="N19" i="2"/>
  <c r="M19" i="2"/>
  <c r="N5" i="2"/>
  <c r="M5" i="2"/>
  <c r="M60" i="2"/>
  <c r="N60" i="2"/>
  <c r="M46" i="2"/>
  <c r="N46" i="2"/>
  <c r="M32" i="2"/>
  <c r="N32" i="2"/>
  <c r="M18" i="2"/>
  <c r="N18" i="2"/>
  <c r="N4" i="2"/>
  <c r="M4" i="2"/>
  <c r="M59" i="2"/>
  <c r="N59" i="2"/>
  <c r="M45" i="2"/>
  <c r="N45" i="2"/>
  <c r="M31" i="2"/>
  <c r="N31" i="2"/>
  <c r="N17" i="2"/>
  <c r="M17" i="2"/>
  <c r="N58" i="2"/>
  <c r="M58" i="2"/>
  <c r="N44" i="2"/>
  <c r="M44" i="2"/>
  <c r="M30" i="2"/>
  <c r="N30" i="2"/>
  <c r="N16" i="2"/>
  <c r="M16" i="2"/>
  <c r="M57" i="2"/>
  <c r="N57" i="2"/>
  <c r="M43" i="2"/>
  <c r="N43" i="2"/>
  <c r="M29" i="2"/>
  <c r="N29" i="2"/>
  <c r="M15" i="2"/>
  <c r="N15" i="2"/>
  <c r="M56" i="2"/>
  <c r="N56" i="2"/>
  <c r="M42" i="2"/>
  <c r="N42" i="2"/>
  <c r="M28" i="2"/>
  <c r="N28" i="2"/>
  <c r="M14" i="2"/>
  <c r="N14" i="2"/>
  <c r="M55" i="2"/>
  <c r="N55" i="2"/>
  <c r="M41" i="2"/>
  <c r="N41" i="2"/>
  <c r="M27" i="2"/>
  <c r="N27" i="2"/>
  <c r="M13" i="2"/>
  <c r="N13" i="2"/>
  <c r="N54" i="2"/>
  <c r="M54" i="2"/>
  <c r="N40" i="2"/>
  <c r="M40" i="2"/>
  <c r="N26" i="2"/>
  <c r="M26" i="2"/>
  <c r="N53" i="2"/>
  <c r="M53" i="2"/>
  <c r="N39" i="2"/>
  <c r="M39" i="2"/>
  <c r="N25" i="2"/>
  <c r="M25" i="2"/>
  <c r="N11" i="2"/>
  <c r="M11" i="2"/>
  <c r="N52" i="2"/>
  <c r="M52" i="2"/>
  <c r="N38" i="2"/>
  <c r="M38" i="2"/>
  <c r="M24" i="2"/>
  <c r="N24" i="2"/>
  <c r="N10" i="2"/>
  <c r="M10" i="2"/>
  <c r="N3" i="2"/>
  <c r="M3" i="2"/>
  <c r="N51" i="2"/>
  <c r="M51" i="2"/>
  <c r="N37" i="2"/>
  <c r="M37" i="2"/>
  <c r="N23" i="2"/>
  <c r="M23" i="2"/>
  <c r="M9" i="2"/>
  <c r="N9" i="2"/>
  <c r="N64" i="2"/>
  <c r="M64" i="2"/>
  <c r="M50" i="2"/>
  <c r="N50" i="2"/>
  <c r="M36" i="2"/>
  <c r="N36" i="2"/>
  <c r="M22" i="2"/>
  <c r="N22" i="2"/>
  <c r="M8" i="2"/>
  <c r="N8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3" i="2"/>
  <c r="AL12" i="2" l="1"/>
  <c r="BL62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1" i="1"/>
  <c r="BL52" i="1"/>
  <c r="BL53" i="1"/>
  <c r="BL54" i="1"/>
  <c r="BL55" i="1"/>
  <c r="BL56" i="1"/>
  <c r="BL57" i="1"/>
  <c r="BL58" i="1"/>
  <c r="BL59" i="1"/>
  <c r="BL60" i="1"/>
  <c r="BL61" i="1"/>
  <c r="H12" i="1"/>
  <c r="BO59" i="1"/>
  <c r="BO60" i="1"/>
  <c r="BO61" i="1"/>
  <c r="BO62" i="1"/>
  <c r="BM59" i="1"/>
  <c r="BM60" i="1"/>
  <c r="BM61" i="1"/>
  <c r="BM62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1" i="1"/>
  <c r="X52" i="1"/>
  <c r="X53" i="1"/>
  <c r="X54" i="1"/>
  <c r="X55" i="1"/>
  <c r="X56" i="1"/>
  <c r="X57" i="1"/>
  <c r="X58" i="1"/>
  <c r="X59" i="1"/>
  <c r="X60" i="1"/>
  <c r="X61" i="1"/>
  <c r="X62" i="1"/>
  <c r="V50" i="1"/>
  <c r="BL50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G61" i="2"/>
  <c r="X50" i="1" l="1"/>
  <c r="BN62" i="1"/>
  <c r="BN60" i="1"/>
  <c r="BN61" i="1"/>
  <c r="BN59" i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7" i="2"/>
  <c r="J58" i="2"/>
  <c r="J59" i="2"/>
  <c r="J60" i="2"/>
  <c r="J61" i="2"/>
  <c r="J62" i="2"/>
  <c r="J3" i="2"/>
  <c r="AW60" i="1"/>
  <c r="AI60" i="1"/>
  <c r="BK60" i="1" s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3" i="1"/>
  <c r="BL3" i="1"/>
  <c r="BK3" i="1"/>
  <c r="BB4" i="1"/>
  <c r="BP4" i="1" s="1"/>
  <c r="BB5" i="1"/>
  <c r="BB6" i="1"/>
  <c r="BB7" i="1"/>
  <c r="BP7" i="1" s="1"/>
  <c r="BB8" i="1"/>
  <c r="BB9" i="1"/>
  <c r="BP9" i="1" s="1"/>
  <c r="BB10" i="1"/>
  <c r="BP10" i="1" s="1"/>
  <c r="BB11" i="1"/>
  <c r="BP11" i="1" s="1"/>
  <c r="BB12" i="1"/>
  <c r="BP12" i="1" s="1"/>
  <c r="BB13" i="1"/>
  <c r="BP13" i="1" s="1"/>
  <c r="BB14" i="1"/>
  <c r="BP14" i="1" s="1"/>
  <c r="BB15" i="1"/>
  <c r="BP15" i="1" s="1"/>
  <c r="BB16" i="1"/>
  <c r="BP16" i="1" s="1"/>
  <c r="BB17" i="1"/>
  <c r="BP17" i="1" s="1"/>
  <c r="BB18" i="1"/>
  <c r="BP18" i="1" s="1"/>
  <c r="BB19" i="1"/>
  <c r="BB20" i="1"/>
  <c r="BB21" i="1"/>
  <c r="BP21" i="1" s="1"/>
  <c r="BB22" i="1"/>
  <c r="BB23" i="1"/>
  <c r="BP23" i="1" s="1"/>
  <c r="BB24" i="1"/>
  <c r="BP24" i="1" s="1"/>
  <c r="BB25" i="1"/>
  <c r="BP25" i="1" s="1"/>
  <c r="BB26" i="1"/>
  <c r="BP26" i="1" s="1"/>
  <c r="BB27" i="1"/>
  <c r="BP27" i="1" s="1"/>
  <c r="BB28" i="1"/>
  <c r="BP28" i="1" s="1"/>
  <c r="BB29" i="1"/>
  <c r="BP29" i="1" s="1"/>
  <c r="BB30" i="1"/>
  <c r="BB31" i="1"/>
  <c r="BP31" i="1" s="1"/>
  <c r="BB32" i="1"/>
  <c r="BP32" i="1" s="1"/>
  <c r="BB33" i="1"/>
  <c r="BB34" i="1"/>
  <c r="BP34" i="1" s="1"/>
  <c r="BB35" i="1"/>
  <c r="BP35" i="1" s="1"/>
  <c r="BB36" i="1"/>
  <c r="BB37" i="1"/>
  <c r="BP37" i="1" s="1"/>
  <c r="BB38" i="1"/>
  <c r="BP38" i="1" s="1"/>
  <c r="BB39" i="1"/>
  <c r="BP39" i="1" s="1"/>
  <c r="BB40" i="1"/>
  <c r="BP40" i="1" s="1"/>
  <c r="BB41" i="1"/>
  <c r="BP41" i="1" s="1"/>
  <c r="BB42" i="1"/>
  <c r="BP42" i="1" s="1"/>
  <c r="BB43" i="1"/>
  <c r="BP43" i="1" s="1"/>
  <c r="BB44" i="1"/>
  <c r="BP44" i="1" s="1"/>
  <c r="BB45" i="1"/>
  <c r="BP45" i="1" s="1"/>
  <c r="BB46" i="1"/>
  <c r="BP46" i="1" s="1"/>
  <c r="BB47" i="1"/>
  <c r="BB48" i="1"/>
  <c r="BP48" i="1" s="1"/>
  <c r="BB49" i="1"/>
  <c r="BP49" i="1" s="1"/>
  <c r="BB50" i="1"/>
  <c r="BB51" i="1"/>
  <c r="BP51" i="1" s="1"/>
  <c r="BB52" i="1"/>
  <c r="BP52" i="1" s="1"/>
  <c r="BB53" i="1"/>
  <c r="BP53" i="1" s="1"/>
  <c r="BB54" i="1"/>
  <c r="BP54" i="1" s="1"/>
  <c r="BB55" i="1"/>
  <c r="BP55" i="1" s="1"/>
  <c r="BB56" i="1"/>
  <c r="BP56" i="1" s="1"/>
  <c r="BB57" i="1"/>
  <c r="BP57" i="1" s="1"/>
  <c r="BB58" i="1"/>
  <c r="BP58" i="1" s="1"/>
  <c r="BB59" i="1"/>
  <c r="BP59" i="1" s="1"/>
  <c r="BB3" i="1"/>
  <c r="BP3" i="1" s="1"/>
  <c r="BO10" i="1"/>
  <c r="BO11" i="1"/>
  <c r="BO12" i="1"/>
  <c r="BO13" i="1"/>
  <c r="BO14" i="1"/>
  <c r="BO15" i="1"/>
  <c r="BO16" i="1"/>
  <c r="BO17" i="1"/>
  <c r="BO24" i="1"/>
  <c r="BO28" i="1"/>
  <c r="BO29" i="1"/>
  <c r="BO30" i="1"/>
  <c r="BO31" i="1"/>
  <c r="BO43" i="1"/>
  <c r="BO44" i="1"/>
  <c r="BO45" i="1"/>
  <c r="BO48" i="1"/>
  <c r="BO49" i="1"/>
  <c r="BO50" i="1"/>
  <c r="BO51" i="1"/>
  <c r="BO52" i="1"/>
  <c r="BO53" i="1"/>
  <c r="BO54" i="1"/>
  <c r="BO55" i="1"/>
  <c r="BO56" i="1"/>
  <c r="BO57" i="1"/>
  <c r="BO58" i="1"/>
  <c r="BO4" i="1"/>
  <c r="BO18" i="1"/>
  <c r="BO25" i="1"/>
  <c r="BO26" i="1"/>
  <c r="BO27" i="1"/>
  <c r="BO32" i="1"/>
  <c r="BO34" i="1"/>
  <c r="BO35" i="1"/>
  <c r="BO36" i="1"/>
  <c r="BO37" i="1"/>
  <c r="BO38" i="1"/>
  <c r="BO39" i="1"/>
  <c r="BO40" i="1"/>
  <c r="BO41" i="1"/>
  <c r="BO42" i="1"/>
  <c r="BO46" i="1"/>
  <c r="BO20" i="1"/>
  <c r="BO22" i="1"/>
  <c r="BO47" i="1"/>
  <c r="BO21" i="1"/>
  <c r="X3" i="1"/>
  <c r="BO3" i="1"/>
  <c r="J3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3" i="1"/>
  <c r="BO5" i="1"/>
  <c r="BO6" i="1"/>
  <c r="BO7" i="1"/>
  <c r="BO8" i="1"/>
  <c r="BO9" i="1"/>
  <c r="BO19" i="1"/>
  <c r="BO23" i="1"/>
  <c r="BO33" i="1"/>
  <c r="BN4" i="1" l="1"/>
  <c r="BN19" i="1"/>
  <c r="BN46" i="1"/>
  <c r="BN15" i="1"/>
  <c r="BN52" i="1"/>
  <c r="BN18" i="1"/>
  <c r="BN13" i="1"/>
  <c r="BN37" i="1"/>
  <c r="BP50" i="1"/>
  <c r="BP8" i="1"/>
  <c r="BP20" i="1"/>
  <c r="BP6" i="1"/>
  <c r="BP47" i="1"/>
  <c r="BP33" i="1"/>
  <c r="BP19" i="1"/>
  <c r="BP5" i="1"/>
  <c r="BP22" i="1"/>
  <c r="BP36" i="1"/>
  <c r="BP30" i="1"/>
  <c r="BN12" i="1"/>
  <c r="BN16" i="1"/>
  <c r="BN7" i="1"/>
  <c r="BN20" i="1"/>
  <c r="BN3" i="1"/>
  <c r="BN43" i="1"/>
  <c r="BN56" i="1"/>
  <c r="BN41" i="1"/>
  <c r="BN27" i="1"/>
  <c r="BN57" i="1"/>
  <c r="BN38" i="1"/>
  <c r="BN51" i="1"/>
  <c r="BN23" i="1"/>
  <c r="BN34" i="1"/>
  <c r="BN45" i="1"/>
  <c r="BN26" i="1"/>
  <c r="BN53" i="1"/>
  <c r="BN50" i="1"/>
  <c r="BN48" i="1"/>
  <c r="BN58" i="1"/>
  <c r="BN44" i="1"/>
  <c r="BN30" i="1"/>
  <c r="CG10" i="1"/>
  <c r="CG33" i="1"/>
  <c r="CG23" i="1"/>
  <c r="CG40" i="1"/>
  <c r="CG6" i="1"/>
  <c r="CG25" i="1"/>
  <c r="CG49" i="1"/>
  <c r="CG26" i="1"/>
  <c r="CG9" i="1"/>
  <c r="CG5" i="1"/>
  <c r="CG48" i="1"/>
  <c r="CG17" i="1"/>
  <c r="CG24" i="1"/>
  <c r="CG29" i="1"/>
  <c r="CG20" i="1"/>
  <c r="CG56" i="1"/>
  <c r="CG44" i="1"/>
  <c r="BN11" i="1" l="1"/>
  <c r="BN14" i="1"/>
  <c r="BN42" i="1"/>
  <c r="BN17" i="1"/>
  <c r="BN47" i="1"/>
  <c r="BN21" i="1"/>
  <c r="BN49" i="1"/>
  <c r="BN24" i="1"/>
  <c r="BN25" i="1"/>
  <c r="BN22" i="1"/>
  <c r="BN28" i="1"/>
  <c r="BN54" i="1"/>
  <c r="BN29" i="1"/>
  <c r="BN55" i="1"/>
  <c r="BN31" i="1"/>
  <c r="BN5" i="1"/>
  <c r="BN32" i="1"/>
  <c r="BN6" i="1"/>
  <c r="BN33" i="1"/>
  <c r="BN8" i="1"/>
  <c r="BN35" i="1"/>
  <c r="BN9" i="1"/>
  <c r="BN36" i="1"/>
  <c r="BN10" i="1"/>
  <c r="BN39" i="1"/>
  <c r="BN40" i="1"/>
</calcChain>
</file>

<file path=xl/sharedStrings.xml><?xml version="1.0" encoding="utf-8"?>
<sst xmlns="http://schemas.openxmlformats.org/spreadsheetml/2006/main" count="1134" uniqueCount="138">
  <si>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</si>
  <si>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</si>
  <si>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</si>
  <si>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</si>
  <si>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</si>
  <si>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</si>
  <si>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</si>
  <si>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</si>
  <si>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</si>
  <si>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</si>
  <si>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</si>
  <si>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</si>
  <si>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</si>
  <si>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</si>
  <si>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</si>
  <si>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</si>
  <si>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</si>
  <si>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</si>
  <si>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</si>
  <si>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</si>
  <si>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</si>
  <si>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</si>
  <si>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</si>
  <si>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</si>
  <si>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</si>
  <si>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</si>
  <si>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</si>
  <si>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</si>
  <si>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</si>
  <si>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</si>
  <si>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</si>
  <si>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</si>
  <si>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</si>
  <si>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</si>
  <si>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</si>
  <si>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</si>
  <si>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</si>
  <si>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</si>
  <si>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</si>
  <si>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</si>
  <si>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</si>
  <si>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</si>
  <si>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</si>
  <si>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</si>
  <si>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</si>
  <si>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</si>
  <si>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</si>
  <si>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</si>
  <si>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</si>
  <si>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</si>
  <si>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</si>
  <si>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</si>
  <si>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</si>
  <si>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</si>
  <si>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</si>
  <si>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</si>
  <si>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</si>
  <si>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</si>
  <si>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</si>
  <si>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</si>
  <si>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</si>
  <si>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</si>
  <si>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</si>
  <si>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</si>
  <si>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</si>
  <si>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</si>
  <si>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</si>
  <si>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</si>
  <si>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</si>
  <si>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</si>
  <si>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</si>
  <si>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</si>
  <si>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</si>
  <si>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</si>
  <si>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</si>
  <si>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</si>
  <si>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</si>
  <si>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</si>
  <si>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</si>
  <si>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</si>
  <si>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</si>
  <si>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</si>
  <si>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</si>
  <si>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</si>
  <si>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</si>
  <si>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</si>
  <si>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</si>
  <si>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</si>
  <si>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</si>
  <si>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</si>
  <si>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</si>
  <si>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</si>
  <si>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</si>
  <si>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</si>
  <si>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</si>
  <si>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</si>
  <si>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</si>
  <si>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</si>
  <si>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</si>
  <si>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</si>
  <si>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</si>
  <si>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</si>
  <si>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</si>
  <si>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</si>
  <si>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</si>
  <si>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</si>
  <si>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</si>
  <si>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</si>
  <si>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</si>
  <si>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</si>
  <si>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</si>
  <si>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</si>
  <si>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</si>
  <si>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</si>
  <si>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</si>
  <si>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</si>
  <si>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</si>
  <si>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</si>
  <si>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</si>
  <si>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</si>
  <si>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</si>
  <si>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</si>
  <si>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</si>
  <si>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</si>
  <si>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</si>
  <si>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</si>
  <si>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</si>
  <si>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</si>
  <si>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</si>
  <si>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</si>
  <si>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Abhilash Ranjan</t>
  </si>
  <si>
    <t>Ametek</t>
  </si>
  <si>
    <t>-</t>
  </si>
  <si>
    <t>CG Power Leadership</t>
  </si>
  <si>
    <t/>
  </si>
  <si>
    <t>Taggd Joiner</t>
  </si>
  <si>
    <t>Other Joiner</t>
  </si>
  <si>
    <t>Total Joiner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</si>
</sst>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CO62"/>
  <sheetViews>
    <sheetView workbookViewId="0">
      <pane xSplit="1" ySplit="2" topLeftCell="G3" activePane="bottomRight" state="frozen"/>
      <selection pane="topRight" activeCell="B1" sqref="B1"/>
      <selection pane="bottomLeft" activeCell="A3" sqref="A3"/>
      <selection pane="bottomRight" activeCell="G1" sqref="G1:S1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9" width="8.7265625" customWidth="1"/>
    <col min="20" max="20" width="4" customWidth="1"/>
    <col min="21" max="21" width="10.08984375" customWidth="1"/>
    <col min="22" max="22" width="11.453125" customWidth="1"/>
    <col min="23" max="28" width="8.7265625" customWidth="1"/>
    <col min="29" max="29" width="19.7265625" customWidth="1"/>
    <col min="30" max="33" width="8.7265625" customWidth="1"/>
    <col min="35" max="35" width="10.08984375" bestFit="1" customWidth="1"/>
    <col min="36" max="36" width="11.453125" bestFit="1" customWidth="1"/>
    <col min="43" max="43" width="19.7265625" bestFit="1" customWidth="1"/>
    <col min="44" max="44" width="9.36328125" bestFit="1" customWidth="1"/>
    <col min="45" max="47" width="9.36328125" customWidth="1"/>
    <col min="49" max="49" width="10.08984375" bestFit="1" customWidth="1"/>
    <col min="50" max="50" width="11.453125" bestFit="1" customWidth="1"/>
    <col min="63" max="63" width="10.08984375" bestFit="1" customWidth="1"/>
    <col min="76" max="76" width="4.08984375" customWidth="1"/>
    <col min="79" max="79" width="13.08984375" bestFit="1" customWidth="1"/>
    <col min="80" max="80" width="2.81640625" customWidth="1"/>
    <col min="81" max="81" width="23.08984375" bestFit="1" customWidth="1"/>
    <col min="82" max="82" width="3.7265625" customWidth="1"/>
    <col min="83" max="83" width="26.08984375" bestFit="1" customWidth="1"/>
    <col min="84" max="84" width="4.26953125" customWidth="1"/>
    <col min="85" max="85" width="31.36328125" bestFit="1" customWidth="1"/>
    <col min="86" max="86" width="3.26953125" customWidth="1"/>
    <col min="87" max="87" width="11" bestFit="1" customWidth="1"/>
    <col min="88" max="88" width="2.1796875" customWidth="1"/>
    <col min="89" max="89" width="11" bestFit="1" customWidth="1"/>
    <col min="90" max="90" width="3" customWidth="1"/>
    <col min="92" max="92" width="3.36328125" customWidth="1"/>
  </cols>
  <sheetData>
    <row r="1" spans="1:93" x14ac:dyDescent="0.35">
      <c r="G1" s="33" t="s">
        <v>24</v>
      </c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U1" s="36" t="s">
        <v>29</v>
      </c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I1" s="33" t="s">
        <v>31</v>
      </c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W1" s="36" t="s">
        <v>32</v>
      </c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K1" s="34" t="s">
        <v>33</v>
      </c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Y1" s="35" t="s">
        <v>76</v>
      </c>
      <c r="BZ1" s="35"/>
      <c r="CA1" s="35"/>
      <c r="CC1" s="19" t="s">
        <v>79</v>
      </c>
      <c r="CE1" s="19" t="s">
        <v>79</v>
      </c>
      <c r="CG1" s="19" t="s">
        <v>80</v>
      </c>
      <c r="CI1" s="19" t="s">
        <v>81</v>
      </c>
      <c r="CK1" s="19" t="s">
        <v>102</v>
      </c>
      <c r="CM1" s="20" t="s">
        <v>104</v>
      </c>
      <c r="CO1" s="20" t="s">
        <v>35</v>
      </c>
    </row>
    <row r="2" spans="1:93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1" t="s">
        <v>135</v>
      </c>
      <c r="R2" s="11" t="s">
        <v>136</v>
      </c>
      <c r="S2" s="11" t="s">
        <v>137</v>
      </c>
      <c r="T2" s="15"/>
      <c r="U2" s="1" t="s">
        <v>74</v>
      </c>
      <c r="V2" s="1" t="s">
        <v>75</v>
      </c>
      <c r="W2" s="1" t="s">
        <v>26</v>
      </c>
      <c r="X2" s="1" t="s">
        <v>25</v>
      </c>
      <c r="Y2" s="1" t="s">
        <v>27</v>
      </c>
      <c r="Z2" s="1" t="s">
        <v>68</v>
      </c>
      <c r="AA2" s="1" t="s">
        <v>113</v>
      </c>
      <c r="AB2" s="1" t="s">
        <v>112</v>
      </c>
      <c r="AC2" s="1" t="s">
        <v>34</v>
      </c>
      <c r="AD2" s="1" t="s">
        <v>28</v>
      </c>
      <c r="AE2" s="11" t="s">
        <v>135</v>
      </c>
      <c r="AF2" s="11" t="s">
        <v>136</v>
      </c>
      <c r="AG2" s="11" t="s">
        <v>137</v>
      </c>
      <c r="AH2" s="9"/>
      <c r="AI2" s="1" t="s">
        <v>74</v>
      </c>
      <c r="AJ2" s="1" t="s">
        <v>75</v>
      </c>
      <c r="AK2" s="1" t="s">
        <v>26</v>
      </c>
      <c r="AL2" s="1" t="s">
        <v>25</v>
      </c>
      <c r="AM2" s="1" t="s">
        <v>27</v>
      </c>
      <c r="AN2" s="1" t="s">
        <v>68</v>
      </c>
      <c r="AO2" s="1" t="s">
        <v>113</v>
      </c>
      <c r="AP2" s="1" t="s">
        <v>112</v>
      </c>
      <c r="AQ2" s="1" t="s">
        <v>34</v>
      </c>
      <c r="AR2" s="1" t="s">
        <v>28</v>
      </c>
      <c r="AS2" s="11" t="s">
        <v>135</v>
      </c>
      <c r="AT2" s="11" t="s">
        <v>136</v>
      </c>
      <c r="AU2" s="11" t="s">
        <v>137</v>
      </c>
      <c r="AV2" s="9"/>
      <c r="AW2" s="1" t="s">
        <v>74</v>
      </c>
      <c r="AX2" s="1" t="s">
        <v>75</v>
      </c>
      <c r="AY2" s="1" t="s">
        <v>26</v>
      </c>
      <c r="AZ2" s="1" t="s">
        <v>25</v>
      </c>
      <c r="BA2" s="1" t="s">
        <v>27</v>
      </c>
      <c r="BB2" s="1" t="s">
        <v>68</v>
      </c>
      <c r="BC2" s="1" t="s">
        <v>113</v>
      </c>
      <c r="BD2" s="1" t="s">
        <v>112</v>
      </c>
      <c r="BE2" s="1" t="s">
        <v>34</v>
      </c>
      <c r="BF2" s="1" t="s">
        <v>28</v>
      </c>
      <c r="BG2" s="11" t="s">
        <v>135</v>
      </c>
      <c r="BH2" s="11" t="s">
        <v>136</v>
      </c>
      <c r="BI2" s="11" t="s">
        <v>137</v>
      </c>
      <c r="BJ2" s="9"/>
      <c r="BK2" s="1" t="s">
        <v>74</v>
      </c>
      <c r="BL2" s="1" t="s">
        <v>75</v>
      </c>
      <c r="BM2" s="1" t="s">
        <v>26</v>
      </c>
      <c r="BN2" s="1" t="s">
        <v>25</v>
      </c>
      <c r="BO2" s="1" t="s">
        <v>27</v>
      </c>
      <c r="BP2" s="1" t="s">
        <v>68</v>
      </c>
      <c r="BQ2" s="1" t="s">
        <v>113</v>
      </c>
      <c r="BR2" s="1" t="s">
        <v>112</v>
      </c>
      <c r="BS2" s="1" t="s">
        <v>34</v>
      </c>
      <c r="BT2" s="1" t="s">
        <v>28</v>
      </c>
      <c r="BU2" s="11" t="s">
        <v>135</v>
      </c>
      <c r="BV2" s="11" t="s">
        <v>136</v>
      </c>
      <c r="BW2" s="11" t="s">
        <v>137</v>
      </c>
      <c r="BY2" s="10" t="s">
        <v>77</v>
      </c>
      <c r="BZ2" s="10" t="s">
        <v>78</v>
      </c>
      <c r="CA2" s="10" t="s">
        <v>111</v>
      </c>
      <c r="CC2" s="11" t="s">
        <v>109</v>
      </c>
      <c r="CE2" s="11" t="s">
        <v>110</v>
      </c>
      <c r="CG2" s="11" t="s">
        <v>98</v>
      </c>
      <c r="CI2" s="11" t="s">
        <v>99</v>
      </c>
      <c r="CK2" s="11" t="s">
        <v>103</v>
      </c>
      <c r="CM2" s="11" t="s">
        <v>105</v>
      </c>
      <c r="CO2" s="11" t="s">
        <v>108</v>
      </c>
    </row>
    <row r="3" spans="1:93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31"/>
      <c r="R3" s="31"/>
      <c r="S3" s="31"/>
      <c r="T3" s="15"/>
      <c r="U3" s="7">
        <v>440</v>
      </c>
      <c r="V3" s="7">
        <v>440</v>
      </c>
      <c r="W3" s="3">
        <v>236.38224607799216</v>
      </c>
      <c r="X3" s="4">
        <f>IFERROR(W3/V3,0)</f>
        <v>0.5372323774499822</v>
      </c>
      <c r="Y3" s="3">
        <v>118382.41507093479</v>
      </c>
      <c r="Z3" s="17">
        <v>57.333333333333336</v>
      </c>
      <c r="AA3" s="17"/>
      <c r="AB3" s="17"/>
      <c r="AC3" s="3"/>
      <c r="AD3" s="7">
        <v>4.0293040293040301</v>
      </c>
      <c r="AE3" s="31"/>
      <c r="AF3" s="31"/>
      <c r="AG3" s="31"/>
      <c r="AH3" s="15"/>
      <c r="AI3" s="3">
        <v>330</v>
      </c>
      <c r="AJ3" s="3">
        <v>330</v>
      </c>
      <c r="AK3" s="3">
        <v>126.38224607799216</v>
      </c>
      <c r="AL3" s="4">
        <v>0.3829765032666429</v>
      </c>
      <c r="AM3" s="3">
        <v>118382.41507093479</v>
      </c>
      <c r="AN3" s="17">
        <v>57.333333333333336</v>
      </c>
      <c r="AO3" s="17"/>
      <c r="AP3" s="17"/>
      <c r="AQ3" s="7"/>
      <c r="AR3" s="7">
        <v>3.0219780219780223</v>
      </c>
      <c r="AS3" s="31"/>
      <c r="AT3" s="31"/>
      <c r="AU3" s="31"/>
      <c r="AV3" s="15"/>
      <c r="AW3" s="17">
        <v>480</v>
      </c>
      <c r="AX3" s="17">
        <v>480</v>
      </c>
      <c r="AY3" s="17">
        <v>276.38224607799214</v>
      </c>
      <c r="AZ3" s="4">
        <v>0.57579634599581697</v>
      </c>
      <c r="BA3" s="3">
        <v>118382.41507093479</v>
      </c>
      <c r="BB3" s="17">
        <f>AN3</f>
        <v>57.333333333333336</v>
      </c>
      <c r="BC3" s="17"/>
      <c r="BD3" s="17"/>
      <c r="BE3" s="3"/>
      <c r="BF3" s="7">
        <v>4.395604395604396</v>
      </c>
      <c r="BG3" s="32"/>
      <c r="BH3" s="32"/>
      <c r="BI3" s="32"/>
      <c r="BJ3" s="9"/>
      <c r="BK3" s="17">
        <f>U3+AI3+AW3+G3</f>
        <v>1725</v>
      </c>
      <c r="BL3" s="17">
        <f>V3+AJ3+AX3+H3</f>
        <v>1725</v>
      </c>
      <c r="BM3" s="17">
        <f>W3+AK3+AY3+I3</f>
        <v>929.03968921396938</v>
      </c>
      <c r="BN3" s="4">
        <f>IFERROR(BM3/BL3,0)</f>
        <v>0.53857373287766341</v>
      </c>
      <c r="BO3" s="3">
        <f t="shared" ref="BO3:BO34" si="0">AVERAGE(K3,Y3,AM3,BA3)</f>
        <v>115691.90563750446</v>
      </c>
      <c r="BP3" s="7">
        <f t="shared" ref="BP3:BP34" si="1">AVERAGE(L3,Z3,AN3,BB3)</f>
        <v>57.333333333333336</v>
      </c>
      <c r="BQ3" s="3"/>
      <c r="BR3" s="3"/>
      <c r="BS3" s="7"/>
      <c r="BT3" s="7">
        <f>AVERAGE(P3,AD3,AR3,BF3)</f>
        <v>3.9491758241758244</v>
      </c>
      <c r="BU3" s="30"/>
      <c r="BV3" s="30"/>
      <c r="BW3" s="30"/>
      <c r="BY3" s="5" t="s">
        <v>100</v>
      </c>
      <c r="BZ3" s="5" t="s">
        <v>100</v>
      </c>
      <c r="CA3" s="5" t="s">
        <v>100</v>
      </c>
      <c r="CI3" s="5" t="s">
        <v>101</v>
      </c>
      <c r="CK3" t="s">
        <v>101</v>
      </c>
      <c r="CM3" s="5" t="s">
        <v>106</v>
      </c>
      <c r="CO3" t="s">
        <v>100</v>
      </c>
    </row>
    <row r="4" spans="1:93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1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31"/>
      <c r="R4" s="31"/>
      <c r="S4" s="31"/>
      <c r="T4" s="15"/>
      <c r="U4" s="7">
        <v>5</v>
      </c>
      <c r="V4" s="7">
        <v>5</v>
      </c>
      <c r="W4" s="3">
        <v>-6.4447645003170422</v>
      </c>
      <c r="X4" s="4">
        <f t="shared" ref="X4:X62" si="3">IFERROR(W4/V4,0)</f>
        <v>-1.2889529000634083</v>
      </c>
      <c r="Y4" s="3">
        <v>190746.07500528404</v>
      </c>
      <c r="Z4" s="17">
        <v>2</v>
      </c>
      <c r="AA4" s="17"/>
      <c r="AB4" s="17"/>
      <c r="AC4" s="3"/>
      <c r="AD4" s="7">
        <v>0</v>
      </c>
      <c r="AE4" s="30"/>
      <c r="AF4" s="30"/>
      <c r="AG4" s="30"/>
      <c r="AI4" s="3">
        <v>5</v>
      </c>
      <c r="AJ4" s="3">
        <v>5</v>
      </c>
      <c r="AK4" s="3">
        <v>-6.4447645003170422</v>
      </c>
      <c r="AL4" s="4">
        <v>-1.2889529000634083</v>
      </c>
      <c r="AM4" s="3">
        <v>190746.07500528404</v>
      </c>
      <c r="AN4" s="17">
        <v>2</v>
      </c>
      <c r="AO4" s="17"/>
      <c r="AP4" s="17"/>
      <c r="AQ4" s="3"/>
      <c r="AR4" s="7">
        <v>0</v>
      </c>
      <c r="AS4" s="30"/>
      <c r="AT4" s="30"/>
      <c r="AU4" s="30"/>
      <c r="AW4" s="17">
        <v>5</v>
      </c>
      <c r="AX4" s="17">
        <v>5</v>
      </c>
      <c r="AY4" s="17">
        <v>-6.4447645003170422</v>
      </c>
      <c r="AZ4" s="4">
        <v>-1.2889529000634083</v>
      </c>
      <c r="BA4" s="3">
        <v>190746.07500528404</v>
      </c>
      <c r="BB4" s="17">
        <f t="shared" ref="BB4:BB59" si="4">AN4</f>
        <v>2</v>
      </c>
      <c r="BC4" s="17"/>
      <c r="BD4" s="17"/>
      <c r="BE4" s="3"/>
      <c r="BF4" s="7">
        <v>0</v>
      </c>
      <c r="BG4" s="30"/>
      <c r="BH4" s="30"/>
      <c r="BI4" s="30"/>
      <c r="BK4" s="17">
        <f t="shared" ref="BK4:BK59" si="5">U4+AI4+AW4+G4</f>
        <v>20</v>
      </c>
      <c r="BL4" s="17">
        <f t="shared" ref="BL4:BL61" si="6">V4+AJ4+AX4+H4</f>
        <v>24.876199999999997</v>
      </c>
      <c r="BM4" s="17">
        <f t="shared" ref="BM4:BM62" si="7">W4+AK4+AY4+I4</f>
        <v>-19.862424864875713</v>
      </c>
      <c r="BN4" s="4">
        <f t="shared" ref="BN4:BN62" si="8">IFERROR(BM4/BL4,0)</f>
        <v>-0.79845092356853997</v>
      </c>
      <c r="BO4" s="3">
        <f t="shared" si="0"/>
        <v>186410.93693698212</v>
      </c>
      <c r="BP4" s="7">
        <f t="shared" si="1"/>
        <v>2</v>
      </c>
      <c r="BQ4" s="3"/>
      <c r="BR4" s="3"/>
      <c r="BS4" s="7"/>
      <c r="BT4" s="7">
        <f t="shared" ref="BT4:BT59" si="9">AVERAGE(P4,AD4,AR4,BF4)</f>
        <v>0</v>
      </c>
      <c r="BU4" s="30"/>
      <c r="BV4" s="30"/>
      <c r="BW4" s="30"/>
      <c r="BY4" s="5" t="s">
        <v>100</v>
      </c>
      <c r="BZ4" s="5" t="s">
        <v>100</v>
      </c>
      <c r="CA4" s="5" t="s">
        <v>100</v>
      </c>
      <c r="CC4" s="21"/>
      <c r="CI4" s="5" t="s">
        <v>101</v>
      </c>
      <c r="CK4" t="s">
        <v>101</v>
      </c>
      <c r="CM4" s="5" t="s">
        <v>106</v>
      </c>
      <c r="CO4" t="s">
        <v>101</v>
      </c>
    </row>
    <row r="5" spans="1:93" x14ac:dyDescent="0.35">
      <c r="A5" s="3" t="s">
        <v>7</v>
      </c>
      <c r="B5" s="3" t="s">
        <v>70</v>
      </c>
      <c r="C5" s="3" t="s">
        <v>86</v>
      </c>
      <c r="D5" s="25" t="s">
        <v>118</v>
      </c>
      <c r="E5" s="3" t="s">
        <v>2</v>
      </c>
      <c r="F5" s="5"/>
      <c r="G5" s="14">
        <v>24</v>
      </c>
      <c r="H5" s="17">
        <v>23.299676599999998</v>
      </c>
      <c r="I5" s="3">
        <v>11.183573396464103</v>
      </c>
      <c r="J5" s="4">
        <f t="shared" si="2"/>
        <v>0.47998835299130738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31"/>
      <c r="R5" s="31"/>
      <c r="S5" s="31"/>
      <c r="T5" s="15"/>
      <c r="U5" s="7">
        <v>24</v>
      </c>
      <c r="V5" s="7">
        <v>24</v>
      </c>
      <c r="W5" s="3">
        <v>10.672286476110516</v>
      </c>
      <c r="X5" s="4">
        <f t="shared" si="3"/>
        <v>0.4446786031712715</v>
      </c>
      <c r="Y5" s="3">
        <v>111064.27936574571</v>
      </c>
      <c r="Z5" s="17">
        <v>4</v>
      </c>
      <c r="AA5" s="17"/>
      <c r="AB5" s="17"/>
      <c r="AC5" s="3"/>
      <c r="AD5" s="7">
        <v>2.6666666666666665</v>
      </c>
      <c r="AE5" s="30"/>
      <c r="AF5" s="30"/>
      <c r="AG5" s="30"/>
      <c r="AI5" s="3">
        <v>15</v>
      </c>
      <c r="AJ5" s="3">
        <v>15</v>
      </c>
      <c r="AK5" s="3">
        <v>1.6722864761105161</v>
      </c>
      <c r="AL5" s="4">
        <v>0.1114857650740344</v>
      </c>
      <c r="AM5" s="3">
        <v>111064.27936574571</v>
      </c>
      <c r="AN5" s="17">
        <v>4</v>
      </c>
      <c r="AO5" s="17"/>
      <c r="AP5" s="17"/>
      <c r="AQ5" s="3"/>
      <c r="AR5" s="7">
        <v>1.6666666666666667</v>
      </c>
      <c r="AS5" s="30"/>
      <c r="AT5" s="30"/>
      <c r="AU5" s="30"/>
      <c r="AW5" s="17">
        <v>17</v>
      </c>
      <c r="AX5" s="17">
        <v>17</v>
      </c>
      <c r="AY5" s="17">
        <v>3.6722864761105161</v>
      </c>
      <c r="AZ5" s="4">
        <v>0.21601685153591271</v>
      </c>
      <c r="BA5" s="3">
        <v>111064.27936574571</v>
      </c>
      <c r="BB5" s="17">
        <f t="shared" si="4"/>
        <v>4</v>
      </c>
      <c r="BC5" s="17"/>
      <c r="BD5" s="17"/>
      <c r="BE5" s="3"/>
      <c r="BF5" s="7">
        <v>1.8888888888888888</v>
      </c>
      <c r="BG5" s="30"/>
      <c r="BH5" s="30"/>
      <c r="BI5" s="30"/>
      <c r="BK5" s="17">
        <f t="shared" si="5"/>
        <v>80</v>
      </c>
      <c r="BL5" s="17">
        <f t="shared" si="6"/>
        <v>79.299676599999998</v>
      </c>
      <c r="BM5" s="17">
        <f t="shared" si="7"/>
        <v>27.200432824795655</v>
      </c>
      <c r="BN5" s="4">
        <f t="shared" si="8"/>
        <v>0.34300811795234554</v>
      </c>
      <c r="BO5" s="3">
        <f t="shared" si="0"/>
        <v>108540.0911983424</v>
      </c>
      <c r="BP5" s="7">
        <f t="shared" si="1"/>
        <v>4</v>
      </c>
      <c r="BQ5" s="3"/>
      <c r="BR5" s="3"/>
      <c r="BS5" s="7"/>
      <c r="BT5" s="7">
        <f t="shared" si="9"/>
        <v>2.1888799055555554</v>
      </c>
      <c r="BU5" s="30"/>
      <c r="BV5" s="30"/>
      <c r="BW5" s="30"/>
      <c r="BY5" s="5" t="s">
        <v>100</v>
      </c>
      <c r="BZ5" s="5" t="s">
        <v>100</v>
      </c>
      <c r="CA5" s="5" t="s">
        <v>100</v>
      </c>
      <c r="CG5">
        <f>531000/100000</f>
        <v>5.31</v>
      </c>
      <c r="CI5" s="5" t="s">
        <v>101</v>
      </c>
      <c r="CK5" t="s">
        <v>101</v>
      </c>
      <c r="CM5" s="5" t="s">
        <v>114</v>
      </c>
      <c r="CO5" t="s">
        <v>101</v>
      </c>
    </row>
    <row r="6" spans="1:93" x14ac:dyDescent="0.35">
      <c r="A6" s="3" t="s">
        <v>37</v>
      </c>
      <c r="B6" s="3" t="s">
        <v>70</v>
      </c>
      <c r="C6" s="3" t="s">
        <v>92</v>
      </c>
      <c r="D6" s="25" t="s">
        <v>118</v>
      </c>
      <c r="E6" s="3" t="s">
        <v>95</v>
      </c>
      <c r="F6" s="5"/>
      <c r="G6" s="14">
        <v>56</v>
      </c>
      <c r="H6" s="17">
        <v>79.400000000000006</v>
      </c>
      <c r="I6" s="3">
        <v>27.4271422010303</v>
      </c>
      <c r="J6" s="4">
        <f t="shared" si="2"/>
        <v>0.34543000253186773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31"/>
      <c r="R6" s="31"/>
      <c r="S6" s="31"/>
      <c r="T6" s="15"/>
      <c r="U6" s="7">
        <v>63</v>
      </c>
      <c r="V6" s="7">
        <v>63</v>
      </c>
      <c r="W6" s="3">
        <v>5.8298564211333144</v>
      </c>
      <c r="X6" s="4">
        <f t="shared" si="3"/>
        <v>9.2537403510052615E-2</v>
      </c>
      <c r="Y6" s="3">
        <v>121638.60335929081</v>
      </c>
      <c r="Z6" s="17">
        <v>15.666666666666666</v>
      </c>
      <c r="AA6" s="17"/>
      <c r="AB6" s="17"/>
      <c r="AC6" s="3"/>
      <c r="AD6" s="7">
        <v>2.0388349514563107</v>
      </c>
      <c r="AE6" s="30"/>
      <c r="AF6" s="30"/>
      <c r="AG6" s="30"/>
      <c r="AI6" s="3">
        <v>57</v>
      </c>
      <c r="AJ6" s="3">
        <v>57</v>
      </c>
      <c r="AK6" s="3">
        <v>-0.17014357886668563</v>
      </c>
      <c r="AL6" s="4">
        <v>-2.98497506783659E-3</v>
      </c>
      <c r="AM6" s="3">
        <v>121638.60335929081</v>
      </c>
      <c r="AN6" s="17">
        <v>15.666666666666666</v>
      </c>
      <c r="AO6" s="17"/>
      <c r="AP6" s="17"/>
      <c r="AQ6" s="3"/>
      <c r="AR6" s="7">
        <v>1.8446601941747571</v>
      </c>
      <c r="AS6" s="30"/>
      <c r="AT6" s="30"/>
      <c r="AU6" s="30"/>
      <c r="AW6" s="17">
        <v>46</v>
      </c>
      <c r="AX6" s="17">
        <v>46</v>
      </c>
      <c r="AY6" s="17">
        <v>-11.170143578866686</v>
      </c>
      <c r="AZ6" s="4">
        <v>-0.2428292082362323</v>
      </c>
      <c r="BA6" s="3">
        <v>121638.60335929081</v>
      </c>
      <c r="BB6" s="17">
        <f t="shared" si="4"/>
        <v>15.666666666666666</v>
      </c>
      <c r="BC6" s="17"/>
      <c r="BD6" s="17"/>
      <c r="BE6" s="3"/>
      <c r="BF6" s="7">
        <v>1.4886731391585759</v>
      </c>
      <c r="BG6" s="30"/>
      <c r="BH6" s="30"/>
      <c r="BI6" s="30"/>
      <c r="BK6" s="17">
        <f t="shared" si="5"/>
        <v>222</v>
      </c>
      <c r="BL6" s="17">
        <f t="shared" si="6"/>
        <v>245.4</v>
      </c>
      <c r="BM6" s="17">
        <f t="shared" si="7"/>
        <v>21.916711464430243</v>
      </c>
      <c r="BN6" s="4">
        <f t="shared" si="8"/>
        <v>8.9310152666789905E-2</v>
      </c>
      <c r="BO6" s="3">
        <f t="shared" si="0"/>
        <v>118874.08964657965</v>
      </c>
      <c r="BP6" s="7">
        <f t="shared" si="1"/>
        <v>15.666666666666666</v>
      </c>
      <c r="BQ6" s="3"/>
      <c r="BR6" s="3"/>
      <c r="BS6" s="7"/>
      <c r="BT6" s="7">
        <f t="shared" si="9"/>
        <v>1.6784789644012943</v>
      </c>
      <c r="BU6" s="30"/>
      <c r="BV6" s="30"/>
      <c r="BW6" s="30"/>
      <c r="BY6" s="5" t="s">
        <v>100</v>
      </c>
      <c r="BZ6" s="5" t="s">
        <v>100</v>
      </c>
      <c r="CA6" s="5" t="s">
        <v>100</v>
      </c>
      <c r="CC6" s="21">
        <v>50.66</v>
      </c>
      <c r="CE6">
        <v>26.5</v>
      </c>
      <c r="CG6">
        <f>690300/100000</f>
        <v>6.9029999999999996</v>
      </c>
      <c r="CI6" s="5" t="s">
        <v>101</v>
      </c>
      <c r="CK6" t="s">
        <v>101</v>
      </c>
      <c r="CM6" s="5" t="s">
        <v>106</v>
      </c>
      <c r="CO6" t="s">
        <v>101</v>
      </c>
    </row>
    <row r="7" spans="1:93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31"/>
      <c r="R7" s="31"/>
      <c r="S7" s="31"/>
      <c r="T7" s="15"/>
      <c r="U7" s="7">
        <v>27.4</v>
      </c>
      <c r="V7" s="7">
        <v>19.09</v>
      </c>
      <c r="W7" s="3">
        <v>-0.96965738662003176</v>
      </c>
      <c r="X7" s="4">
        <f t="shared" si="3"/>
        <v>-5.0793996156104339E-2</v>
      </c>
      <c r="Y7" s="3">
        <v>111442.54103677796</v>
      </c>
      <c r="Z7" s="17">
        <v>6</v>
      </c>
      <c r="AA7" s="17"/>
      <c r="AB7" s="17"/>
      <c r="AC7" s="3"/>
      <c r="AD7" s="7">
        <v>1.8266666666666667</v>
      </c>
      <c r="AE7" s="30"/>
      <c r="AF7" s="30"/>
      <c r="AG7" s="30"/>
      <c r="AI7" s="3">
        <v>31.5</v>
      </c>
      <c r="AJ7" s="3">
        <v>31.5</v>
      </c>
      <c r="AK7" s="3">
        <v>11.440342613379968</v>
      </c>
      <c r="AL7" s="4">
        <v>0.36318547978984028</v>
      </c>
      <c r="AM7" s="3">
        <v>111442.54103677796</v>
      </c>
      <c r="AN7" s="17">
        <v>6</v>
      </c>
      <c r="AO7" s="17"/>
      <c r="AP7" s="17"/>
      <c r="AQ7" s="3"/>
      <c r="AR7" s="7">
        <v>2.1</v>
      </c>
      <c r="AS7" s="30"/>
      <c r="AT7" s="30"/>
      <c r="AU7" s="30"/>
      <c r="AW7" s="17">
        <v>35.700000000000003</v>
      </c>
      <c r="AX7" s="17">
        <v>35.700000000000003</v>
      </c>
      <c r="AY7" s="17">
        <v>15.640342613379971</v>
      </c>
      <c r="AZ7" s="4">
        <v>0.43810483510868264</v>
      </c>
      <c r="BA7" s="3">
        <v>111442.54103677796</v>
      </c>
      <c r="BB7" s="17">
        <f t="shared" si="4"/>
        <v>6</v>
      </c>
      <c r="BC7" s="17"/>
      <c r="BD7" s="17"/>
      <c r="BE7" s="3"/>
      <c r="BF7" s="7">
        <v>2.3800000000000003</v>
      </c>
      <c r="BG7" s="30"/>
      <c r="BH7" s="30"/>
      <c r="BI7" s="30"/>
      <c r="BK7" s="17">
        <f t="shared" si="5"/>
        <v>123.1</v>
      </c>
      <c r="BL7" s="17">
        <f t="shared" si="6"/>
        <v>105.4085</v>
      </c>
      <c r="BM7" s="17">
        <f t="shared" si="7"/>
        <v>26.993475670485338</v>
      </c>
      <c r="BN7" s="4">
        <f t="shared" si="8"/>
        <v>0.25608443029248434</v>
      </c>
      <c r="BO7" s="3">
        <f t="shared" si="0"/>
        <v>108909.75601321482</v>
      </c>
      <c r="BP7" s="7">
        <f t="shared" si="1"/>
        <v>6</v>
      </c>
      <c r="BQ7" s="3"/>
      <c r="BR7" s="3"/>
      <c r="BS7" s="7"/>
      <c r="BT7" s="7">
        <f t="shared" si="9"/>
        <v>1.8953083333333334</v>
      </c>
      <c r="BU7" s="30"/>
      <c r="BV7" s="30"/>
      <c r="BW7" s="30"/>
      <c r="BY7" s="5" t="s">
        <v>100</v>
      </c>
      <c r="BZ7" s="5" t="s">
        <v>100</v>
      </c>
      <c r="CA7" s="5" t="s">
        <v>100</v>
      </c>
      <c r="CC7" s="21">
        <v>39.369999999999997</v>
      </c>
      <c r="CI7" s="5" t="s">
        <v>101</v>
      </c>
      <c r="CK7" t="s">
        <v>101</v>
      </c>
      <c r="CM7" s="5" t="s">
        <v>106</v>
      </c>
      <c r="CO7" t="s">
        <v>101</v>
      </c>
    </row>
    <row r="8" spans="1:93" x14ac:dyDescent="0.35">
      <c r="A8" s="3" t="s">
        <v>39</v>
      </c>
      <c r="B8" s="3" t="s">
        <v>70</v>
      </c>
      <c r="C8" s="3" t="s">
        <v>92</v>
      </c>
      <c r="D8" s="25" t="s">
        <v>118</v>
      </c>
      <c r="E8" s="3" t="s">
        <v>95</v>
      </c>
      <c r="F8" s="5"/>
      <c r="G8" s="14">
        <v>33</v>
      </c>
      <c r="H8" s="17">
        <v>35.332499999999996</v>
      </c>
      <c r="I8" s="3">
        <v>10.587499999999995</v>
      </c>
      <c r="J8" s="4">
        <f t="shared" si="2"/>
        <v>0.29965329370975718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31"/>
      <c r="R8" s="31"/>
      <c r="S8" s="31"/>
      <c r="T8" s="15"/>
      <c r="U8" s="7">
        <v>34.5</v>
      </c>
      <c r="V8" s="7">
        <v>34.5</v>
      </c>
      <c r="W8" s="3">
        <v>7.2804999999999964</v>
      </c>
      <c r="X8" s="4">
        <f t="shared" si="3"/>
        <v>0.21102898550724628</v>
      </c>
      <c r="Y8" s="3">
        <v>111100.00000000001</v>
      </c>
      <c r="Z8" s="17">
        <v>8.1666666666666661</v>
      </c>
      <c r="AA8" s="17"/>
      <c r="AB8" s="17"/>
      <c r="AC8" s="3"/>
      <c r="AD8" s="7">
        <v>1.4375</v>
      </c>
      <c r="AE8" s="30"/>
      <c r="AF8" s="30"/>
      <c r="AG8" s="30"/>
      <c r="AI8" s="3">
        <v>30.6</v>
      </c>
      <c r="AJ8" s="3">
        <v>30.6</v>
      </c>
      <c r="AK8" s="3">
        <v>3.3804999999999978</v>
      </c>
      <c r="AL8" s="4">
        <v>0.11047385620915025</v>
      </c>
      <c r="AM8" s="3">
        <v>111100.00000000001</v>
      </c>
      <c r="AN8" s="17">
        <v>8.1666666666666661</v>
      </c>
      <c r="AO8" s="17"/>
      <c r="AP8" s="17"/>
      <c r="AQ8" s="3"/>
      <c r="AR8" s="7">
        <v>1.2750000000000001</v>
      </c>
      <c r="AS8" s="30"/>
      <c r="AT8" s="30"/>
      <c r="AU8" s="30"/>
      <c r="AW8" s="17">
        <v>36.6</v>
      </c>
      <c r="AX8" s="17">
        <v>36.6</v>
      </c>
      <c r="AY8" s="17">
        <v>9.3804999999999978</v>
      </c>
      <c r="AZ8" s="4">
        <v>0.25629781420765019</v>
      </c>
      <c r="BA8" s="3">
        <v>111100.00000000001</v>
      </c>
      <c r="BB8" s="17">
        <f t="shared" si="4"/>
        <v>8.1666666666666661</v>
      </c>
      <c r="BC8" s="17"/>
      <c r="BD8" s="17"/>
      <c r="BE8" s="3"/>
      <c r="BF8" s="7">
        <v>1.5250000000000001</v>
      </c>
      <c r="BG8" s="30"/>
      <c r="BH8" s="30"/>
      <c r="BI8" s="30"/>
      <c r="BK8" s="17">
        <f t="shared" si="5"/>
        <v>134.69999999999999</v>
      </c>
      <c r="BL8" s="17">
        <f t="shared" si="6"/>
        <v>137.03249999999997</v>
      </c>
      <c r="BM8" s="17">
        <f t="shared" si="7"/>
        <v>30.628999999999987</v>
      </c>
      <c r="BN8" s="4">
        <f t="shared" si="8"/>
        <v>0.22351631912137626</v>
      </c>
      <c r="BO8" s="3">
        <f t="shared" si="0"/>
        <v>108575</v>
      </c>
      <c r="BP8" s="7">
        <f t="shared" si="1"/>
        <v>8.1666666666666661</v>
      </c>
      <c r="BQ8" s="3"/>
      <c r="BR8" s="3"/>
      <c r="BS8" s="7"/>
      <c r="BT8" s="7">
        <f t="shared" si="9"/>
        <v>1.3630468750000002</v>
      </c>
      <c r="BU8" s="30"/>
      <c r="BV8" s="30"/>
      <c r="BW8" s="30"/>
      <c r="BY8" s="5" t="s">
        <v>100</v>
      </c>
      <c r="BZ8" s="5" t="s">
        <v>100</v>
      </c>
      <c r="CA8" s="5" t="s">
        <v>100</v>
      </c>
      <c r="CC8" s="21"/>
      <c r="CE8">
        <v>6.11</v>
      </c>
      <c r="CI8" s="5" t="s">
        <v>101</v>
      </c>
      <c r="CK8" t="s">
        <v>101</v>
      </c>
      <c r="CM8" s="5" t="s">
        <v>114</v>
      </c>
      <c r="CO8" t="s">
        <v>101</v>
      </c>
    </row>
    <row r="9" spans="1:93" x14ac:dyDescent="0.35">
      <c r="A9" s="3" t="s">
        <v>8</v>
      </c>
      <c r="B9" s="3" t="s">
        <v>70</v>
      </c>
      <c r="C9" s="3" t="s">
        <v>86</v>
      </c>
      <c r="D9" s="25" t="s">
        <v>118</v>
      </c>
      <c r="E9" s="3" t="s">
        <v>2</v>
      </c>
      <c r="F9" s="5"/>
      <c r="G9" s="14">
        <v>51.75</v>
      </c>
      <c r="H9" s="17">
        <v>24.630000000000003</v>
      </c>
      <c r="I9" s="3">
        <v>-1.0278053411884613</v>
      </c>
      <c r="J9" s="4">
        <f t="shared" si="2"/>
        <v>-4.1729814908179508E-2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31"/>
      <c r="R9" s="31"/>
      <c r="S9" s="31"/>
      <c r="T9" s="15"/>
      <c r="U9" s="7">
        <v>45.5</v>
      </c>
      <c r="V9" s="7">
        <v>45.5</v>
      </c>
      <c r="W9" s="3">
        <v>17.276414124692689</v>
      </c>
      <c r="X9" s="4">
        <f t="shared" si="3"/>
        <v>0.37970140933390523</v>
      </c>
      <c r="Y9" s="3">
        <v>88198.705860335351</v>
      </c>
      <c r="Z9" s="17">
        <v>10.666666666666666</v>
      </c>
      <c r="AA9" s="17"/>
      <c r="AB9" s="17"/>
      <c r="AC9" s="3"/>
      <c r="AD9" s="7">
        <v>1.5166666666666666</v>
      </c>
      <c r="AE9" s="30"/>
      <c r="AF9" s="30"/>
      <c r="AG9" s="30"/>
      <c r="AI9" s="3">
        <v>48</v>
      </c>
      <c r="AJ9" s="3">
        <v>48</v>
      </c>
      <c r="AK9" s="3">
        <v>19.776414124692689</v>
      </c>
      <c r="AL9" s="4">
        <v>0.41200862759776435</v>
      </c>
      <c r="AM9" s="3">
        <v>88198.705860335351</v>
      </c>
      <c r="AN9" s="17">
        <v>10.666666666666666</v>
      </c>
      <c r="AO9" s="17"/>
      <c r="AP9" s="17"/>
      <c r="AQ9" s="3"/>
      <c r="AR9" s="7">
        <v>1.6</v>
      </c>
      <c r="AS9" s="30"/>
      <c r="AT9" s="30"/>
      <c r="AU9" s="30"/>
      <c r="AW9" s="17">
        <v>50.5</v>
      </c>
      <c r="AX9" s="17">
        <v>50.5</v>
      </c>
      <c r="AY9" s="17">
        <v>22.276414124692689</v>
      </c>
      <c r="AZ9" s="4">
        <v>0.44111711138005327</v>
      </c>
      <c r="BA9" s="3">
        <v>88198.705860335351</v>
      </c>
      <c r="BB9" s="17">
        <f t="shared" si="4"/>
        <v>10.666666666666666</v>
      </c>
      <c r="BC9" s="17"/>
      <c r="BD9" s="17"/>
      <c r="BE9" s="3"/>
      <c r="BF9" s="7">
        <v>1.6833333333333333</v>
      </c>
      <c r="BG9" s="30"/>
      <c r="BH9" s="30"/>
      <c r="BI9" s="30"/>
      <c r="BK9" s="17">
        <f t="shared" si="5"/>
        <v>195.75</v>
      </c>
      <c r="BL9" s="17">
        <f t="shared" si="6"/>
        <v>168.63</v>
      </c>
      <c r="BM9" s="17">
        <f t="shared" si="7"/>
        <v>58.301437032889602</v>
      </c>
      <c r="BN9" s="4">
        <f t="shared" si="8"/>
        <v>0.34573585383911287</v>
      </c>
      <c r="BO9" s="3">
        <f t="shared" si="0"/>
        <v>86194.189818055005</v>
      </c>
      <c r="BP9" s="7">
        <f t="shared" si="1"/>
        <v>10.666666666666666</v>
      </c>
      <c r="BQ9" s="3"/>
      <c r="BR9" s="3"/>
      <c r="BS9" s="7"/>
      <c r="BT9" s="7">
        <f t="shared" si="9"/>
        <v>1.409</v>
      </c>
      <c r="BU9" s="30"/>
      <c r="BV9" s="30"/>
      <c r="BW9" s="30"/>
      <c r="BY9" s="5" t="s">
        <v>100</v>
      </c>
      <c r="BZ9" s="5" t="s">
        <v>100</v>
      </c>
      <c r="CA9" s="5" t="s">
        <v>100</v>
      </c>
      <c r="CC9" s="21"/>
      <c r="CG9">
        <f>2553800/100000</f>
        <v>25.538</v>
      </c>
      <c r="CI9" s="5" t="s">
        <v>101</v>
      </c>
      <c r="CK9" t="s">
        <v>101</v>
      </c>
      <c r="CM9" s="5" t="s">
        <v>115</v>
      </c>
      <c r="CO9" t="s">
        <v>101</v>
      </c>
    </row>
    <row r="10" spans="1:93" x14ac:dyDescent="0.35">
      <c r="A10" s="3" t="s">
        <v>4</v>
      </c>
      <c r="B10" s="3" t="s">
        <v>70</v>
      </c>
      <c r="C10" s="3" t="s">
        <v>86</v>
      </c>
      <c r="D10" s="25" t="s">
        <v>118</v>
      </c>
      <c r="E10" s="3" t="s">
        <v>2</v>
      </c>
      <c r="F10" s="5"/>
      <c r="G10" s="14">
        <v>10</v>
      </c>
      <c r="H10" s="17">
        <v>10.270737799999999</v>
      </c>
      <c r="I10" s="3">
        <v>3.946138567772473</v>
      </c>
      <c r="J10" s="4">
        <f t="shared" si="2"/>
        <v>0.38421179126707655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31"/>
      <c r="R10" s="31"/>
      <c r="S10" s="31"/>
      <c r="T10" s="15"/>
      <c r="U10" s="7">
        <v>12</v>
      </c>
      <c r="V10" s="7">
        <v>12</v>
      </c>
      <c r="W10" s="3">
        <v>5.0429408445497206</v>
      </c>
      <c r="X10" s="4">
        <f t="shared" si="3"/>
        <v>0.42024507037914338</v>
      </c>
      <c r="Y10" s="3">
        <v>115950.98592417133</v>
      </c>
      <c r="Z10" s="17">
        <v>2</v>
      </c>
      <c r="AA10" s="17"/>
      <c r="AB10" s="17"/>
      <c r="AC10" s="3"/>
      <c r="AD10" s="7">
        <v>2</v>
      </c>
      <c r="AE10" s="30"/>
      <c r="AF10" s="30"/>
      <c r="AG10" s="30"/>
      <c r="AI10" s="3">
        <v>13</v>
      </c>
      <c r="AJ10" s="3">
        <v>13</v>
      </c>
      <c r="AK10" s="3">
        <v>6.0429408445497206</v>
      </c>
      <c r="AL10" s="4">
        <v>0.46484160342690156</v>
      </c>
      <c r="AM10" s="3">
        <v>115950.98592417133</v>
      </c>
      <c r="AN10" s="17">
        <v>2</v>
      </c>
      <c r="AO10" s="17"/>
      <c r="AP10" s="17"/>
      <c r="AQ10" s="3"/>
      <c r="AR10" s="7">
        <v>2.1666666666666665</v>
      </c>
      <c r="AS10" s="30"/>
      <c r="AT10" s="30"/>
      <c r="AU10" s="30"/>
      <c r="AW10" s="17">
        <v>13</v>
      </c>
      <c r="AX10" s="17">
        <v>13</v>
      </c>
      <c r="AY10" s="17">
        <v>6.0429408445497206</v>
      </c>
      <c r="AZ10" s="4">
        <v>0.46484160342690156</v>
      </c>
      <c r="BA10" s="3">
        <v>115950.98592417133</v>
      </c>
      <c r="BB10" s="17">
        <f t="shared" si="4"/>
        <v>2</v>
      </c>
      <c r="BC10" s="17"/>
      <c r="BD10" s="17"/>
      <c r="BE10" s="3"/>
      <c r="BF10" s="7">
        <v>2.1666666666666665</v>
      </c>
      <c r="BG10" s="30"/>
      <c r="BH10" s="30"/>
      <c r="BI10" s="30"/>
      <c r="BK10" s="17">
        <f t="shared" si="5"/>
        <v>48</v>
      </c>
      <c r="BL10" s="17">
        <f t="shared" si="6"/>
        <v>48.270737799999999</v>
      </c>
      <c r="BM10" s="17">
        <f t="shared" si="7"/>
        <v>21.074961101421636</v>
      </c>
      <c r="BN10" s="4">
        <f t="shared" si="8"/>
        <v>0.43659910873418711</v>
      </c>
      <c r="BO10" s="3">
        <f t="shared" si="0"/>
        <v>113315.73624407653</v>
      </c>
      <c r="BP10" s="7">
        <f t="shared" si="1"/>
        <v>2</v>
      </c>
      <c r="BQ10" s="3"/>
      <c r="BR10" s="3"/>
      <c r="BS10" s="7"/>
      <c r="BT10" s="7">
        <f t="shared" si="9"/>
        <v>1.990447408333333</v>
      </c>
      <c r="BU10" s="30"/>
      <c r="BV10" s="30"/>
      <c r="BW10" s="30"/>
      <c r="BY10" s="5" t="s">
        <v>100</v>
      </c>
      <c r="BZ10" s="5" t="s">
        <v>100</v>
      </c>
      <c r="CA10" s="5" t="s">
        <v>100</v>
      </c>
      <c r="CC10" s="21"/>
      <c r="CG10">
        <f>31266/100000</f>
        <v>0.31265999999999999</v>
      </c>
      <c r="CI10" s="5" t="s">
        <v>101</v>
      </c>
      <c r="CK10" t="s">
        <v>101</v>
      </c>
      <c r="CM10" s="5" t="s">
        <v>115</v>
      </c>
      <c r="CO10" t="s">
        <v>101</v>
      </c>
    </row>
    <row r="11" spans="1:93" x14ac:dyDescent="0.35">
      <c r="A11" s="3" t="s">
        <v>9</v>
      </c>
      <c r="B11" s="3" t="s">
        <v>70</v>
      </c>
      <c r="C11" s="3" t="s">
        <v>86</v>
      </c>
      <c r="D11" s="25" t="s">
        <v>118</v>
      </c>
      <c r="E11" s="3" t="s">
        <v>2</v>
      </c>
      <c r="F11" s="5"/>
      <c r="G11" s="14">
        <v>51.5</v>
      </c>
      <c r="H11" s="17">
        <v>39.39</v>
      </c>
      <c r="I11" s="3">
        <v>15.332275115075429</v>
      </c>
      <c r="J11" s="4">
        <f t="shared" si="2"/>
        <v>0.38924283105040441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31"/>
      <c r="R11" s="31"/>
      <c r="S11" s="31"/>
      <c r="T11" s="15"/>
      <c r="U11" s="7">
        <v>47.199999999999996</v>
      </c>
      <c r="V11" s="7">
        <v>47.199999999999996</v>
      </c>
      <c r="W11" s="3">
        <v>20.736502626582965</v>
      </c>
      <c r="X11" s="4">
        <f t="shared" si="3"/>
        <v>0.43933268276658827</v>
      </c>
      <c r="Y11" s="3">
        <v>101782.68220545011</v>
      </c>
      <c r="Z11" s="17">
        <v>8.6666666666666661</v>
      </c>
      <c r="AA11" s="17"/>
      <c r="AB11" s="17"/>
      <c r="AC11" s="3"/>
      <c r="AD11" s="7">
        <v>2.0977777777777775</v>
      </c>
      <c r="AE11" s="30"/>
      <c r="AF11" s="30"/>
      <c r="AG11" s="30"/>
      <c r="AI11" s="3">
        <v>49.800000000000004</v>
      </c>
      <c r="AJ11" s="3">
        <v>49.800000000000004</v>
      </c>
      <c r="AK11" s="3">
        <v>23.336502626582973</v>
      </c>
      <c r="AL11" s="4">
        <v>0.46860447041331266</v>
      </c>
      <c r="AM11" s="3">
        <v>101782.68220545011</v>
      </c>
      <c r="AN11" s="17">
        <v>8.6666666666666661</v>
      </c>
      <c r="AO11" s="17"/>
      <c r="AP11" s="17"/>
      <c r="AQ11" s="3"/>
      <c r="AR11" s="7">
        <v>2.2133333333333334</v>
      </c>
      <c r="AS11" s="30"/>
      <c r="AT11" s="30"/>
      <c r="AU11" s="30"/>
      <c r="AW11" s="17">
        <v>46.6</v>
      </c>
      <c r="AX11" s="17">
        <v>46.6</v>
      </c>
      <c r="AY11" s="17">
        <v>20.136502626582971</v>
      </c>
      <c r="AZ11" s="4">
        <v>0.43211379027002084</v>
      </c>
      <c r="BA11" s="3">
        <v>101782.68220545011</v>
      </c>
      <c r="BB11" s="17">
        <f t="shared" si="4"/>
        <v>8.6666666666666661</v>
      </c>
      <c r="BC11" s="17"/>
      <c r="BD11" s="17"/>
      <c r="BE11" s="3"/>
      <c r="BF11" s="7">
        <v>2.0711111111111111</v>
      </c>
      <c r="BG11" s="30"/>
      <c r="BH11" s="30"/>
      <c r="BI11" s="30"/>
      <c r="BK11" s="17">
        <f t="shared" si="5"/>
        <v>195.1</v>
      </c>
      <c r="BL11" s="17">
        <f t="shared" si="6"/>
        <v>182.99</v>
      </c>
      <c r="BM11" s="17">
        <f t="shared" si="7"/>
        <v>79.541782994824345</v>
      </c>
      <c r="BN11" s="4">
        <f t="shared" si="8"/>
        <v>0.43467830479711644</v>
      </c>
      <c r="BO11" s="3">
        <f t="shared" si="0"/>
        <v>99469.439428053534</v>
      </c>
      <c r="BP11" s="7">
        <f t="shared" si="1"/>
        <v>8.6666666666666661</v>
      </c>
      <c r="BQ11" s="3"/>
      <c r="BR11" s="3"/>
      <c r="BS11" s="7"/>
      <c r="BT11" s="7">
        <f t="shared" si="9"/>
        <v>2.0482222222222224</v>
      </c>
      <c r="BU11" s="30"/>
      <c r="BV11" s="30"/>
      <c r="BW11" s="30"/>
      <c r="BY11" s="5" t="s">
        <v>100</v>
      </c>
      <c r="BZ11" s="5" t="s">
        <v>100</v>
      </c>
      <c r="CA11" s="5" t="s">
        <v>100</v>
      </c>
      <c r="CC11" s="21"/>
      <c r="CE11">
        <v>5.23</v>
      </c>
      <c r="CI11" s="5" t="s">
        <v>101</v>
      </c>
      <c r="CK11" t="s">
        <v>100</v>
      </c>
      <c r="CM11" s="5" t="s">
        <v>114</v>
      </c>
      <c r="CO11" t="s">
        <v>101</v>
      </c>
    </row>
    <row r="12" spans="1:93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f>413+17</f>
        <v>430</v>
      </c>
      <c r="I12" s="3">
        <v>177.45506157435264</v>
      </c>
      <c r="J12" s="4">
        <f t="shared" si="2"/>
        <v>0.41268618970779686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31"/>
      <c r="R12" s="31"/>
      <c r="S12" s="31"/>
      <c r="T12" s="15"/>
      <c r="U12" s="7">
        <v>392.27188129999996</v>
      </c>
      <c r="V12" s="7">
        <v>338</v>
      </c>
      <c r="W12" s="3">
        <v>78.900567731787874</v>
      </c>
      <c r="X12" s="4">
        <f t="shared" si="3"/>
        <v>0.23343363234256767</v>
      </c>
      <c r="Y12" s="3">
        <v>153132.05216797406</v>
      </c>
      <c r="Z12" s="17">
        <v>56.4</v>
      </c>
      <c r="AA12" s="17"/>
      <c r="AB12" s="17"/>
      <c r="AC12" s="3"/>
      <c r="AD12" s="7">
        <v>3.5922333452380952</v>
      </c>
      <c r="AE12" s="30"/>
      <c r="AF12" s="30"/>
      <c r="AG12" s="30"/>
      <c r="AI12" s="3">
        <v>329.57126269999998</v>
      </c>
      <c r="AJ12" s="3">
        <v>329.57126269999998</v>
      </c>
      <c r="AK12" s="3">
        <v>70.471830431787851</v>
      </c>
      <c r="AL12" s="4">
        <v>0.21382880853885763</v>
      </c>
      <c r="AM12" s="3">
        <v>153132.05216797406</v>
      </c>
      <c r="AN12" s="17">
        <v>56.4</v>
      </c>
      <c r="AO12" s="17"/>
      <c r="AP12" s="17"/>
      <c r="AQ12" s="3"/>
      <c r="AR12" s="7">
        <v>3.0180518562271064</v>
      </c>
      <c r="AS12" s="30"/>
      <c r="AT12" s="30"/>
      <c r="AU12" s="30"/>
      <c r="AW12" s="17">
        <v>392.0047667</v>
      </c>
      <c r="AX12" s="17">
        <v>392.0047667</v>
      </c>
      <c r="AY12" s="17">
        <v>132.90533443178788</v>
      </c>
      <c r="AZ12" s="4">
        <v>0.33904009777896377</v>
      </c>
      <c r="BA12" s="3">
        <v>153132.05216797406</v>
      </c>
      <c r="BB12" s="17">
        <f t="shared" si="4"/>
        <v>56.4</v>
      </c>
      <c r="BC12" s="17"/>
      <c r="BD12" s="17"/>
      <c r="BE12" s="3"/>
      <c r="BF12" s="7">
        <v>3.5897872408424911</v>
      </c>
      <c r="BG12" s="30"/>
      <c r="BH12" s="30"/>
      <c r="BI12" s="30"/>
      <c r="BK12" s="17">
        <f t="shared" si="5"/>
        <v>1443.1520866999999</v>
      </c>
      <c r="BL12" s="17">
        <f t="shared" si="6"/>
        <v>1489.5760294000002</v>
      </c>
      <c r="BM12" s="17">
        <f t="shared" si="7"/>
        <v>459.73279416971627</v>
      </c>
      <c r="BN12" s="4">
        <f t="shared" si="8"/>
        <v>0.30863331921022941</v>
      </c>
      <c r="BO12" s="3">
        <f t="shared" si="0"/>
        <v>149651.77825506555</v>
      </c>
      <c r="BP12" s="7">
        <f t="shared" si="1"/>
        <v>56.4</v>
      </c>
      <c r="BQ12" s="3"/>
      <c r="BR12" s="3"/>
      <c r="BS12" s="7"/>
      <c r="BT12" s="7">
        <f t="shared" si="9"/>
        <v>3.5046884402472527</v>
      </c>
      <c r="BU12" s="30"/>
      <c r="BV12" s="30"/>
      <c r="BW12" s="30"/>
      <c r="BY12" s="5" t="s">
        <v>100</v>
      </c>
      <c r="BZ12" s="5" t="s">
        <v>100</v>
      </c>
      <c r="CA12" s="5" t="s">
        <v>100</v>
      </c>
      <c r="CC12" s="21"/>
      <c r="CI12" s="5" t="s">
        <v>101</v>
      </c>
      <c r="CK12" t="s">
        <v>101</v>
      </c>
      <c r="CM12" s="5" t="s">
        <v>114</v>
      </c>
      <c r="CO12" t="s">
        <v>100</v>
      </c>
    </row>
    <row r="13" spans="1:93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31"/>
      <c r="R13" s="31"/>
      <c r="S13" s="31"/>
      <c r="T13" s="15"/>
      <c r="U13" s="7">
        <v>27</v>
      </c>
      <c r="V13" s="7">
        <v>15</v>
      </c>
      <c r="W13" s="3">
        <v>4.8723120736915924</v>
      </c>
      <c r="X13" s="4">
        <f t="shared" si="3"/>
        <v>0.32482080491277282</v>
      </c>
      <c r="Y13" s="3">
        <v>140662.332309839</v>
      </c>
      <c r="Z13" s="17">
        <v>2.4</v>
      </c>
      <c r="AA13" s="17"/>
      <c r="AB13" s="17"/>
      <c r="AC13" s="3"/>
      <c r="AD13" s="7">
        <v>9</v>
      </c>
      <c r="AE13" s="30"/>
      <c r="AF13" s="30"/>
      <c r="AG13" s="30"/>
      <c r="AI13" s="3">
        <v>20</v>
      </c>
      <c r="AJ13" s="3">
        <v>20</v>
      </c>
      <c r="AK13" s="3">
        <v>9.8723120736915924</v>
      </c>
      <c r="AL13" s="4">
        <v>0.49361560368457963</v>
      </c>
      <c r="AM13" s="3">
        <v>140662.332309839</v>
      </c>
      <c r="AN13" s="17">
        <v>2.4</v>
      </c>
      <c r="AO13" s="17"/>
      <c r="AP13" s="17"/>
      <c r="AQ13" s="3"/>
      <c r="AR13" s="7">
        <v>6.666666666666667</v>
      </c>
      <c r="AS13" s="30"/>
      <c r="AT13" s="30"/>
      <c r="AU13" s="30"/>
      <c r="AW13" s="17">
        <v>23</v>
      </c>
      <c r="AX13" s="17">
        <v>23</v>
      </c>
      <c r="AY13" s="17">
        <v>12.872312073691592</v>
      </c>
      <c r="AZ13" s="4">
        <v>0.55966574233441702</v>
      </c>
      <c r="BA13" s="3">
        <v>140662.332309839</v>
      </c>
      <c r="BB13" s="17">
        <f t="shared" si="4"/>
        <v>2.4</v>
      </c>
      <c r="BC13" s="17"/>
      <c r="BD13" s="17"/>
      <c r="BE13" s="3"/>
      <c r="BF13" s="7">
        <v>7.666666666666667</v>
      </c>
      <c r="BG13" s="30"/>
      <c r="BH13" s="30"/>
      <c r="BI13" s="30"/>
      <c r="BK13" s="17">
        <f t="shared" si="5"/>
        <v>97</v>
      </c>
      <c r="BL13" s="17">
        <f t="shared" si="6"/>
        <v>72.784999999999997</v>
      </c>
      <c r="BM13" s="17">
        <f t="shared" si="7"/>
        <v>33.194947197158044</v>
      </c>
      <c r="BN13" s="4">
        <f t="shared" si="8"/>
        <v>0.45606851957351163</v>
      </c>
      <c r="BO13" s="3">
        <f t="shared" si="0"/>
        <v>137465.46112097902</v>
      </c>
      <c r="BP13" s="7">
        <f t="shared" si="1"/>
        <v>2.4</v>
      </c>
      <c r="BQ13" s="3"/>
      <c r="BR13" s="3"/>
      <c r="BS13" s="7"/>
      <c r="BT13" s="7">
        <f t="shared" si="9"/>
        <v>7.0654166666666676</v>
      </c>
      <c r="BU13" s="30"/>
      <c r="BV13" s="30"/>
      <c r="BW13" s="30"/>
      <c r="BY13" s="5" t="s">
        <v>100</v>
      </c>
      <c r="BZ13" s="5" t="s">
        <v>100</v>
      </c>
      <c r="CA13" s="5" t="s">
        <v>100</v>
      </c>
      <c r="CC13" s="21"/>
      <c r="CE13">
        <v>3.78</v>
      </c>
      <c r="CI13" s="5" t="s">
        <v>101</v>
      </c>
      <c r="CK13" t="s">
        <v>101</v>
      </c>
      <c r="CM13" s="5" t="s">
        <v>114</v>
      </c>
      <c r="CO13" t="s">
        <v>101</v>
      </c>
    </row>
    <row r="14" spans="1:93" x14ac:dyDescent="0.35">
      <c r="A14" s="3" t="s">
        <v>13</v>
      </c>
      <c r="B14" s="3" t="s">
        <v>70</v>
      </c>
      <c r="C14" s="3" t="s">
        <v>86</v>
      </c>
      <c r="D14" s="25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31"/>
      <c r="R14" s="31"/>
      <c r="S14" s="31"/>
      <c r="T14" s="15"/>
      <c r="U14" s="7">
        <v>0</v>
      </c>
      <c r="V14" s="7">
        <v>0</v>
      </c>
      <c r="W14" s="3">
        <v>0</v>
      </c>
      <c r="X14" s="4">
        <f t="shared" si="3"/>
        <v>0</v>
      </c>
      <c r="Y14" s="3">
        <v>0</v>
      </c>
      <c r="Z14" s="17">
        <v>0</v>
      </c>
      <c r="AA14" s="17"/>
      <c r="AB14" s="17"/>
      <c r="AC14" s="3"/>
      <c r="AD14" s="7">
        <v>0</v>
      </c>
      <c r="AE14" s="30"/>
      <c r="AF14" s="30"/>
      <c r="AG14" s="30"/>
      <c r="AI14" s="3">
        <v>0</v>
      </c>
      <c r="AJ14" s="3">
        <v>0</v>
      </c>
      <c r="AK14" s="3">
        <v>0</v>
      </c>
      <c r="AL14" s="4">
        <v>0</v>
      </c>
      <c r="AM14" s="3">
        <v>0</v>
      </c>
      <c r="AN14" s="17">
        <v>0</v>
      </c>
      <c r="AO14" s="17"/>
      <c r="AP14" s="17"/>
      <c r="AQ14" s="3"/>
      <c r="AR14" s="7">
        <v>0</v>
      </c>
      <c r="AS14" s="30"/>
      <c r="AT14" s="30"/>
      <c r="AU14" s="30"/>
      <c r="AW14" s="17">
        <v>0</v>
      </c>
      <c r="AX14" s="17">
        <v>0</v>
      </c>
      <c r="AY14" s="17">
        <v>0</v>
      </c>
      <c r="AZ14" s="4">
        <v>0</v>
      </c>
      <c r="BA14" s="3">
        <v>0</v>
      </c>
      <c r="BB14" s="17">
        <f t="shared" si="4"/>
        <v>0</v>
      </c>
      <c r="BC14" s="17"/>
      <c r="BD14" s="17"/>
      <c r="BE14" s="3"/>
      <c r="BF14" s="7">
        <v>0</v>
      </c>
      <c r="BG14" s="30"/>
      <c r="BH14" s="30"/>
      <c r="BI14" s="30"/>
      <c r="BK14" s="17">
        <f t="shared" si="5"/>
        <v>0</v>
      </c>
      <c r="BL14" s="17">
        <f t="shared" si="6"/>
        <v>0.9</v>
      </c>
      <c r="BM14" s="17">
        <f t="shared" si="7"/>
        <v>-2.7450000000000001</v>
      </c>
      <c r="BN14" s="4">
        <f t="shared" si="8"/>
        <v>-3.05</v>
      </c>
      <c r="BO14" s="3">
        <f t="shared" si="0"/>
        <v>22500</v>
      </c>
      <c r="BP14" s="7">
        <f t="shared" si="1"/>
        <v>0.33749999999999997</v>
      </c>
      <c r="BQ14" s="3"/>
      <c r="BR14" s="3"/>
      <c r="BS14" s="7"/>
      <c r="BT14" s="7">
        <f t="shared" si="9"/>
        <v>2.5000000000000001E-2</v>
      </c>
      <c r="BU14" s="30"/>
      <c r="BV14" s="30"/>
      <c r="BW14" s="30"/>
      <c r="BY14" s="5" t="s">
        <v>100</v>
      </c>
      <c r="BZ14" s="5" t="s">
        <v>100</v>
      </c>
      <c r="CA14" s="5" t="s">
        <v>100</v>
      </c>
      <c r="CC14" s="21"/>
      <c r="CI14" s="5" t="s">
        <v>101</v>
      </c>
      <c r="CK14" t="s">
        <v>100</v>
      </c>
      <c r="CM14" s="5" t="s">
        <v>115</v>
      </c>
      <c r="CO14" t="s">
        <v>101</v>
      </c>
    </row>
    <row r="15" spans="1:93" x14ac:dyDescent="0.35">
      <c r="A15" s="3" t="s">
        <v>23</v>
      </c>
      <c r="B15" s="3" t="s">
        <v>70</v>
      </c>
      <c r="C15" s="3" t="s">
        <v>93</v>
      </c>
      <c r="D15" s="26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31"/>
      <c r="R15" s="31"/>
      <c r="S15" s="31"/>
      <c r="T15" s="15"/>
      <c r="U15" s="7">
        <v>0</v>
      </c>
      <c r="V15" s="7">
        <v>0</v>
      </c>
      <c r="W15" s="3">
        <v>0</v>
      </c>
      <c r="X15" s="4">
        <f t="shared" si="3"/>
        <v>0</v>
      </c>
      <c r="Y15" s="3">
        <v>0</v>
      </c>
      <c r="Z15" s="17">
        <v>0</v>
      </c>
      <c r="AA15" s="17"/>
      <c r="AB15" s="17"/>
      <c r="AC15" s="3"/>
      <c r="AD15" s="7">
        <v>0</v>
      </c>
      <c r="AE15" s="30"/>
      <c r="AF15" s="30"/>
      <c r="AG15" s="30"/>
      <c r="AI15" s="3">
        <v>0</v>
      </c>
      <c r="AJ15" s="3">
        <v>0</v>
      </c>
      <c r="AK15" s="3">
        <v>0</v>
      </c>
      <c r="AL15" s="4">
        <v>0</v>
      </c>
      <c r="AM15" s="3">
        <v>0</v>
      </c>
      <c r="AN15" s="17">
        <v>0</v>
      </c>
      <c r="AO15" s="17"/>
      <c r="AP15" s="17"/>
      <c r="AQ15" s="3"/>
      <c r="AR15" s="7">
        <v>0</v>
      </c>
      <c r="AS15" s="30"/>
      <c r="AT15" s="30"/>
      <c r="AU15" s="30"/>
      <c r="AW15" s="17">
        <v>0</v>
      </c>
      <c r="AX15" s="17">
        <v>0</v>
      </c>
      <c r="AY15" s="17">
        <v>0</v>
      </c>
      <c r="AZ15" s="4">
        <v>0</v>
      </c>
      <c r="BA15" s="3">
        <v>0</v>
      </c>
      <c r="BB15" s="17">
        <f t="shared" si="4"/>
        <v>0</v>
      </c>
      <c r="BC15" s="17"/>
      <c r="BD15" s="17"/>
      <c r="BE15" s="3"/>
      <c r="BF15" s="7">
        <v>0</v>
      </c>
      <c r="BG15" s="30"/>
      <c r="BH15" s="30"/>
      <c r="BI15" s="30"/>
      <c r="BK15" s="17">
        <f t="shared" si="5"/>
        <v>0</v>
      </c>
      <c r="BL15" s="17">
        <f t="shared" si="6"/>
        <v>0</v>
      </c>
      <c r="BM15" s="17">
        <f t="shared" si="7"/>
        <v>0</v>
      </c>
      <c r="BN15" s="4">
        <f t="shared" si="8"/>
        <v>0</v>
      </c>
      <c r="BO15" s="3">
        <f t="shared" si="0"/>
        <v>0</v>
      </c>
      <c r="BP15" s="7">
        <f t="shared" si="1"/>
        <v>0</v>
      </c>
      <c r="BQ15" s="3"/>
      <c r="BR15" s="3"/>
      <c r="BS15" s="7"/>
      <c r="BT15" s="7">
        <f t="shared" si="9"/>
        <v>0</v>
      </c>
      <c r="BU15" s="30"/>
      <c r="BV15" s="30"/>
      <c r="BW15" s="30"/>
      <c r="BY15" s="5" t="s">
        <v>100</v>
      </c>
      <c r="BZ15" s="5" t="s">
        <v>100</v>
      </c>
      <c r="CA15" s="5" t="s">
        <v>100</v>
      </c>
      <c r="CC15" s="21"/>
      <c r="CI15" s="5" t="s">
        <v>101</v>
      </c>
      <c r="CK15" t="s">
        <v>101</v>
      </c>
      <c r="CM15" s="5"/>
      <c r="CO15" t="s">
        <v>101</v>
      </c>
    </row>
    <row r="16" spans="1:93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31"/>
      <c r="R16" s="31"/>
      <c r="S16" s="31"/>
      <c r="T16" s="15"/>
      <c r="U16" s="7">
        <v>13</v>
      </c>
      <c r="V16" s="7">
        <v>4</v>
      </c>
      <c r="W16" s="3">
        <v>-6.2237326598422573</v>
      </c>
      <c r="X16" s="4">
        <f t="shared" si="3"/>
        <v>-1.5559331649605643</v>
      </c>
      <c r="Y16" s="3">
        <v>92943.024180384149</v>
      </c>
      <c r="Z16" s="17">
        <v>3.6666666666666665</v>
      </c>
      <c r="AA16" s="17"/>
      <c r="AB16" s="17"/>
      <c r="AC16" s="3"/>
      <c r="AD16" s="7">
        <v>2.1666666666666665</v>
      </c>
      <c r="AE16" s="30"/>
      <c r="AF16" s="30"/>
      <c r="AG16" s="30"/>
      <c r="AI16" s="3">
        <v>11</v>
      </c>
      <c r="AJ16" s="3">
        <v>11</v>
      </c>
      <c r="AK16" s="3">
        <v>0.77626734015774268</v>
      </c>
      <c r="AL16" s="4">
        <v>7.0569758196158419E-2</v>
      </c>
      <c r="AM16" s="3">
        <v>92943.024180384149</v>
      </c>
      <c r="AN16" s="17">
        <v>3.6666666666666665</v>
      </c>
      <c r="AO16" s="17"/>
      <c r="AP16" s="17"/>
      <c r="AQ16" s="3"/>
      <c r="AR16" s="7">
        <v>1.8333333333333333</v>
      </c>
      <c r="AS16" s="30"/>
      <c r="AT16" s="30"/>
      <c r="AU16" s="30"/>
      <c r="AW16" s="17">
        <v>12</v>
      </c>
      <c r="AX16" s="17">
        <v>12</v>
      </c>
      <c r="AY16" s="17">
        <v>1.7762673401577427</v>
      </c>
      <c r="AZ16" s="4">
        <v>0.14802227834647855</v>
      </c>
      <c r="BA16" s="3">
        <v>92943.024180384149</v>
      </c>
      <c r="BB16" s="17">
        <f t="shared" si="4"/>
        <v>3.6666666666666665</v>
      </c>
      <c r="BC16" s="17"/>
      <c r="BD16" s="17"/>
      <c r="BE16" s="3"/>
      <c r="BF16" s="7">
        <v>2</v>
      </c>
      <c r="BG16" s="30"/>
      <c r="BH16" s="30"/>
      <c r="BI16" s="30"/>
      <c r="BK16" s="17">
        <f t="shared" si="5"/>
        <v>48</v>
      </c>
      <c r="BL16" s="17">
        <f t="shared" si="6"/>
        <v>40.59169</v>
      </c>
      <c r="BM16" s="17">
        <f t="shared" si="7"/>
        <v>0.62618960243481325</v>
      </c>
      <c r="BN16" s="4">
        <f t="shared" si="8"/>
        <v>1.5426546725076321E-2</v>
      </c>
      <c r="BO16" s="3">
        <f t="shared" si="0"/>
        <v>90830.682721739053</v>
      </c>
      <c r="BP16" s="7">
        <f t="shared" si="1"/>
        <v>3.6666666666666665</v>
      </c>
      <c r="BQ16" s="3"/>
      <c r="BR16" s="3"/>
      <c r="BS16" s="7"/>
      <c r="BT16" s="7">
        <f t="shared" si="9"/>
        <v>2.0663204166666667</v>
      </c>
      <c r="BU16" s="30"/>
      <c r="BV16" s="30"/>
      <c r="BW16" s="30"/>
      <c r="BY16" s="5" t="s">
        <v>100</v>
      </c>
      <c r="BZ16" s="5" t="s">
        <v>100</v>
      </c>
      <c r="CA16" s="5" t="s">
        <v>100</v>
      </c>
      <c r="CC16" s="21"/>
      <c r="CI16" s="5" t="s">
        <v>101</v>
      </c>
      <c r="CK16" t="s">
        <v>101</v>
      </c>
      <c r="CM16" s="5" t="s">
        <v>106</v>
      </c>
      <c r="CO16" t="s">
        <v>101</v>
      </c>
    </row>
    <row r="17" spans="1:93" x14ac:dyDescent="0.35">
      <c r="A17" s="3" t="s">
        <v>10</v>
      </c>
      <c r="B17" s="3" t="s">
        <v>70</v>
      </c>
      <c r="C17" s="3" t="s">
        <v>90</v>
      </c>
      <c r="D17" s="25" t="s">
        <v>118</v>
      </c>
      <c r="E17" s="3" t="s">
        <v>2</v>
      </c>
      <c r="F17" s="5"/>
      <c r="G17" s="14">
        <v>305</v>
      </c>
      <c r="H17" s="17">
        <v>380.6077823</v>
      </c>
      <c r="I17" s="3">
        <v>153.39413898733835</v>
      </c>
      <c r="J17" s="4">
        <f t="shared" si="2"/>
        <v>0.40302417901279564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31"/>
      <c r="R17" s="31"/>
      <c r="S17" s="31"/>
      <c r="T17" s="15"/>
      <c r="U17" s="7">
        <v>330</v>
      </c>
      <c r="V17" s="7">
        <v>330</v>
      </c>
      <c r="W17" s="3">
        <v>80.064992356072167</v>
      </c>
      <c r="X17" s="4">
        <f t="shared" si="3"/>
        <v>0.24262118895779444</v>
      </c>
      <c r="Y17" s="3">
        <v>103278.92877848257</v>
      </c>
      <c r="Z17" s="17">
        <v>80.666666666666671</v>
      </c>
      <c r="AA17" s="17"/>
      <c r="AB17" s="17"/>
      <c r="AC17" s="3"/>
      <c r="AD17" s="7">
        <v>1.6666666666666667</v>
      </c>
      <c r="AE17" s="30"/>
      <c r="AF17" s="30"/>
      <c r="AG17" s="30"/>
      <c r="AI17" s="3">
        <v>360</v>
      </c>
      <c r="AJ17" s="3">
        <v>360</v>
      </c>
      <c r="AK17" s="3">
        <v>110.06499235607217</v>
      </c>
      <c r="AL17" s="4">
        <v>0.30573608987797823</v>
      </c>
      <c r="AM17" s="3">
        <v>103278.92877848257</v>
      </c>
      <c r="AN17" s="17">
        <v>80.666666666666671</v>
      </c>
      <c r="AO17" s="17"/>
      <c r="AP17" s="17"/>
      <c r="AQ17" s="3"/>
      <c r="AR17" s="7">
        <v>1.8181818181818181</v>
      </c>
      <c r="AS17" s="30"/>
      <c r="AT17" s="30"/>
      <c r="AU17" s="30"/>
      <c r="AW17" s="17">
        <v>390</v>
      </c>
      <c r="AX17" s="17">
        <v>390</v>
      </c>
      <c r="AY17" s="17">
        <v>140.06499235607217</v>
      </c>
      <c r="AZ17" s="4">
        <v>0.35914100604121069</v>
      </c>
      <c r="BA17" s="3">
        <v>103278.92877848257</v>
      </c>
      <c r="BB17" s="17">
        <f t="shared" si="4"/>
        <v>80.666666666666671</v>
      </c>
      <c r="BC17" s="17"/>
      <c r="BD17" s="17"/>
      <c r="BE17" s="3"/>
      <c r="BF17" s="7">
        <v>1.9696969696969697</v>
      </c>
      <c r="BG17" s="30"/>
      <c r="BH17" s="30"/>
      <c r="BI17" s="30"/>
      <c r="BK17" s="17">
        <f t="shared" si="5"/>
        <v>1385</v>
      </c>
      <c r="BL17" s="17">
        <f t="shared" si="6"/>
        <v>1460.6077823000001</v>
      </c>
      <c r="BM17" s="17">
        <f t="shared" si="7"/>
        <v>483.58911605555488</v>
      </c>
      <c r="BN17" s="4">
        <f t="shared" si="8"/>
        <v>0.33108759375090646</v>
      </c>
      <c r="BO17" s="3">
        <f t="shared" si="0"/>
        <v>100931.68039715342</v>
      </c>
      <c r="BP17" s="7">
        <f t="shared" si="1"/>
        <v>80.666666666666671</v>
      </c>
      <c r="BQ17" s="3"/>
      <c r="BR17" s="3"/>
      <c r="BS17" s="7"/>
      <c r="BT17" s="7">
        <f t="shared" si="9"/>
        <v>1.8239997251262627</v>
      </c>
      <c r="BU17" s="30"/>
      <c r="BV17" s="30"/>
      <c r="BW17" s="30"/>
      <c r="BY17" s="5" t="s">
        <v>100</v>
      </c>
      <c r="BZ17" s="5" t="s">
        <v>100</v>
      </c>
      <c r="CA17" s="5" t="s">
        <v>100</v>
      </c>
      <c r="CC17" s="21"/>
      <c r="CG17">
        <f>17110481/100000</f>
        <v>171.10480999999999</v>
      </c>
      <c r="CI17" s="5" t="s">
        <v>101</v>
      </c>
      <c r="CK17" t="s">
        <v>101</v>
      </c>
      <c r="CM17" s="5" t="s">
        <v>107</v>
      </c>
      <c r="CO17" t="s">
        <v>100</v>
      </c>
    </row>
    <row r="18" spans="1:93" x14ac:dyDescent="0.35">
      <c r="A18" s="3" t="s">
        <v>20</v>
      </c>
      <c r="B18" s="3" t="s">
        <v>70</v>
      </c>
      <c r="C18" s="3" t="s">
        <v>93</v>
      </c>
      <c r="D18" s="26" t="s">
        <v>118</v>
      </c>
      <c r="E18" s="3" t="s">
        <v>2</v>
      </c>
      <c r="F18" s="5"/>
      <c r="G18" s="14">
        <v>70</v>
      </c>
      <c r="H18" s="17">
        <v>75.491083500000002</v>
      </c>
      <c r="I18" s="3">
        <v>36.298225002405729</v>
      </c>
      <c r="J18" s="4">
        <f t="shared" si="2"/>
        <v>0.48082797755056367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31"/>
      <c r="R18" s="31"/>
      <c r="S18" s="31"/>
      <c r="T18" s="15"/>
      <c r="U18" s="7">
        <v>70</v>
      </c>
      <c r="V18" s="7">
        <v>70</v>
      </c>
      <c r="W18" s="3">
        <v>26.887855652646294</v>
      </c>
      <c r="X18" s="4">
        <f t="shared" si="3"/>
        <v>0.38411222360923275</v>
      </c>
      <c r="Y18" s="3">
        <v>143707.14782451236</v>
      </c>
      <c r="Z18" s="17">
        <v>10</v>
      </c>
      <c r="AA18" s="17"/>
      <c r="AB18" s="17"/>
      <c r="AC18" s="3"/>
      <c r="AD18" s="7">
        <v>7.7777777777777777</v>
      </c>
      <c r="AE18" s="30"/>
      <c r="AF18" s="30"/>
      <c r="AG18" s="30"/>
      <c r="AI18" s="3">
        <v>40</v>
      </c>
      <c r="AJ18" s="3">
        <v>40</v>
      </c>
      <c r="AK18" s="3">
        <v>-3.1121443473537056</v>
      </c>
      <c r="AL18" s="4">
        <v>-7.7803608683842645E-2</v>
      </c>
      <c r="AM18" s="3">
        <v>143707.14782451236</v>
      </c>
      <c r="AN18" s="17">
        <v>10</v>
      </c>
      <c r="AO18" s="17"/>
      <c r="AP18" s="17"/>
      <c r="AQ18" s="3"/>
      <c r="AR18" s="7">
        <v>4.4444444444444446</v>
      </c>
      <c r="AS18" s="30"/>
      <c r="AT18" s="30"/>
      <c r="AU18" s="30"/>
      <c r="AW18" s="17">
        <v>70</v>
      </c>
      <c r="AX18" s="17">
        <v>70</v>
      </c>
      <c r="AY18" s="17">
        <v>26.887855652646294</v>
      </c>
      <c r="AZ18" s="4">
        <v>0.38411222360923275</v>
      </c>
      <c r="BA18" s="3">
        <v>143707.14782451236</v>
      </c>
      <c r="BB18" s="17">
        <f t="shared" si="4"/>
        <v>10</v>
      </c>
      <c r="BC18" s="17"/>
      <c r="BD18" s="17"/>
      <c r="BE18" s="3"/>
      <c r="BF18" s="7">
        <v>7.7777777777777777</v>
      </c>
      <c r="BG18" s="30"/>
      <c r="BH18" s="30"/>
      <c r="BI18" s="30"/>
      <c r="BK18" s="17">
        <f t="shared" si="5"/>
        <v>250</v>
      </c>
      <c r="BL18" s="17">
        <f t="shared" si="6"/>
        <v>255.4910835</v>
      </c>
      <c r="BM18" s="17">
        <f t="shared" si="7"/>
        <v>86.961791960344613</v>
      </c>
      <c r="BN18" s="4">
        <f t="shared" si="8"/>
        <v>0.34037114238604971</v>
      </c>
      <c r="BO18" s="3">
        <f t="shared" si="0"/>
        <v>140441.07628304616</v>
      </c>
      <c r="BP18" s="7">
        <f t="shared" si="1"/>
        <v>10</v>
      </c>
      <c r="BQ18" s="3"/>
      <c r="BR18" s="3"/>
      <c r="BS18" s="7"/>
      <c r="BT18" s="7">
        <f t="shared" si="9"/>
        <v>7.1164189861111105</v>
      </c>
      <c r="BU18" s="30"/>
      <c r="BV18" s="30"/>
      <c r="BW18" s="30"/>
      <c r="BY18" s="5" t="s">
        <v>100</v>
      </c>
      <c r="BZ18" s="5" t="s">
        <v>100</v>
      </c>
      <c r="CA18" s="5" t="s">
        <v>100</v>
      </c>
      <c r="CC18" s="21"/>
      <c r="CI18" s="5" t="s">
        <v>101</v>
      </c>
      <c r="CK18" t="s">
        <v>101</v>
      </c>
      <c r="CM18" s="5"/>
      <c r="CO18" t="s">
        <v>101</v>
      </c>
    </row>
    <row r="19" spans="1:93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31"/>
      <c r="R19" s="31"/>
      <c r="S19" s="31"/>
      <c r="T19" s="15"/>
      <c r="U19" s="7">
        <v>150</v>
      </c>
      <c r="V19" s="7">
        <v>69</v>
      </c>
      <c r="W19" s="3">
        <v>29.213228125290236</v>
      </c>
      <c r="X19" s="4">
        <f t="shared" si="3"/>
        <v>0.42338011775782952</v>
      </c>
      <c r="Y19" s="3">
        <v>108707.02698008134</v>
      </c>
      <c r="Z19" s="17">
        <v>12.199999999999998</v>
      </c>
      <c r="AA19" s="17"/>
      <c r="AB19" s="17"/>
      <c r="AC19" s="3"/>
      <c r="AD19" s="7">
        <v>5</v>
      </c>
      <c r="AE19" s="30"/>
      <c r="AF19" s="30"/>
      <c r="AG19" s="30"/>
      <c r="AI19" s="3">
        <v>100</v>
      </c>
      <c r="AJ19" s="3">
        <v>100</v>
      </c>
      <c r="AK19" s="3">
        <v>60.213228125290236</v>
      </c>
      <c r="AL19" s="4">
        <v>0.60213228125290241</v>
      </c>
      <c r="AM19" s="3">
        <v>108707.02698008134</v>
      </c>
      <c r="AN19" s="17">
        <v>12.199999999999998</v>
      </c>
      <c r="AO19" s="17"/>
      <c r="AP19" s="17"/>
      <c r="AQ19" s="3"/>
      <c r="AR19" s="7">
        <v>3.3333333333333335</v>
      </c>
      <c r="AS19" s="30"/>
      <c r="AT19" s="30"/>
      <c r="AU19" s="30"/>
      <c r="AW19" s="17">
        <v>150</v>
      </c>
      <c r="AX19" s="17">
        <v>150</v>
      </c>
      <c r="AY19" s="17">
        <v>110.21322812529024</v>
      </c>
      <c r="AZ19" s="4">
        <v>0.73475485416860165</v>
      </c>
      <c r="BA19" s="3">
        <v>108707.02698008134</v>
      </c>
      <c r="BB19" s="17">
        <f t="shared" si="4"/>
        <v>12.199999999999998</v>
      </c>
      <c r="BC19" s="17"/>
      <c r="BD19" s="17"/>
      <c r="BE19" s="3"/>
      <c r="BF19" s="7">
        <v>5</v>
      </c>
      <c r="BG19" s="30"/>
      <c r="BH19" s="30"/>
      <c r="BI19" s="30"/>
      <c r="BK19" s="17">
        <f t="shared" si="5"/>
        <v>550</v>
      </c>
      <c r="BL19" s="17">
        <f t="shared" si="6"/>
        <v>404.98750000000001</v>
      </c>
      <c r="BM19" s="17">
        <f t="shared" si="7"/>
        <v>249.45739176249822</v>
      </c>
      <c r="BN19" s="4">
        <f t="shared" si="8"/>
        <v>0.61596318840087216</v>
      </c>
      <c r="BO19" s="3">
        <f t="shared" si="0"/>
        <v>106236.41273053404</v>
      </c>
      <c r="BP19" s="7">
        <f t="shared" si="1"/>
        <v>12.199999999999998</v>
      </c>
      <c r="BQ19" s="3"/>
      <c r="BR19" s="3"/>
      <c r="BS19" s="7"/>
      <c r="BT19" s="7">
        <f t="shared" si="9"/>
        <v>4.0498958333333333</v>
      </c>
      <c r="BU19" s="30"/>
      <c r="BV19" s="30"/>
      <c r="BW19" s="30"/>
      <c r="BY19" s="5" t="s">
        <v>100</v>
      </c>
      <c r="BZ19" s="5" t="s">
        <v>100</v>
      </c>
      <c r="CA19" s="5" t="s">
        <v>100</v>
      </c>
      <c r="CC19" s="21"/>
      <c r="CI19" s="5" t="s">
        <v>101</v>
      </c>
      <c r="CK19" t="s">
        <v>101</v>
      </c>
      <c r="CM19" s="5" t="s">
        <v>106</v>
      </c>
      <c r="CO19" t="s">
        <v>100</v>
      </c>
    </row>
    <row r="20" spans="1:93" x14ac:dyDescent="0.35">
      <c r="A20" s="3" t="s">
        <v>11</v>
      </c>
      <c r="B20" s="3" t="s">
        <v>70</v>
      </c>
      <c r="C20" s="3" t="s">
        <v>86</v>
      </c>
      <c r="D20" s="25" t="s">
        <v>118</v>
      </c>
      <c r="E20" s="3" t="s">
        <v>2</v>
      </c>
      <c r="F20" s="5"/>
      <c r="G20" s="14">
        <v>20.110000000000003</v>
      </c>
      <c r="H20" s="17">
        <v>27.510800000000003</v>
      </c>
      <c r="I20" s="3">
        <v>16.116478281603932</v>
      </c>
      <c r="J20" s="4">
        <f t="shared" si="2"/>
        <v>0.58582368675588969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31"/>
      <c r="R20" s="31"/>
      <c r="S20" s="31"/>
      <c r="T20" s="15"/>
      <c r="U20" s="7">
        <v>24.865000000000002</v>
      </c>
      <c r="V20" s="7">
        <v>27.864999999999998</v>
      </c>
      <c r="W20" s="3">
        <v>15.331246109764319</v>
      </c>
      <c r="X20" s="4">
        <f t="shared" si="3"/>
        <v>0.5501972406159813</v>
      </c>
      <c r="Y20" s="3">
        <v>96413.491463351384</v>
      </c>
      <c r="Z20" s="17">
        <v>4.333333333333333</v>
      </c>
      <c r="AA20" s="17"/>
      <c r="AB20" s="17"/>
      <c r="AC20" s="3"/>
      <c r="AD20" s="7">
        <v>2.3680952380952385</v>
      </c>
      <c r="AE20" s="30"/>
      <c r="AF20" s="30"/>
      <c r="AG20" s="30"/>
      <c r="AI20" s="3">
        <v>25.634999999999998</v>
      </c>
      <c r="AJ20" s="3">
        <v>25.634999999999998</v>
      </c>
      <c r="AK20" s="3">
        <v>13.101246109764318</v>
      </c>
      <c r="AL20" s="4">
        <v>0.51106869942517341</v>
      </c>
      <c r="AM20" s="3">
        <v>96413.491463351384</v>
      </c>
      <c r="AN20" s="17">
        <v>4.333333333333333</v>
      </c>
      <c r="AO20" s="17"/>
      <c r="AP20" s="17"/>
      <c r="AQ20" s="3"/>
      <c r="AR20" s="7">
        <v>2.4414285714285713</v>
      </c>
      <c r="AS20" s="30"/>
      <c r="AT20" s="30"/>
      <c r="AU20" s="30"/>
      <c r="AW20" s="17">
        <v>23.71</v>
      </c>
      <c r="AX20" s="17">
        <v>23.71</v>
      </c>
      <c r="AY20" s="17">
        <v>11.176246109764321</v>
      </c>
      <c r="AZ20" s="4">
        <v>0.47137267438904767</v>
      </c>
      <c r="BA20" s="3">
        <v>96413.491463351384</v>
      </c>
      <c r="BB20" s="17">
        <f t="shared" si="4"/>
        <v>4.333333333333333</v>
      </c>
      <c r="BC20" s="17"/>
      <c r="BD20" s="17"/>
      <c r="BE20" s="3"/>
      <c r="BF20" s="7">
        <v>2.2580952380952382</v>
      </c>
      <c r="BG20" s="30"/>
      <c r="BH20" s="30"/>
      <c r="BI20" s="30"/>
      <c r="BK20" s="17">
        <f t="shared" si="5"/>
        <v>94.320000000000007</v>
      </c>
      <c r="BL20" s="17">
        <f t="shared" si="6"/>
        <v>104.72080000000001</v>
      </c>
      <c r="BM20" s="17">
        <f t="shared" si="7"/>
        <v>55.725216610896894</v>
      </c>
      <c r="BN20" s="4">
        <f t="shared" si="8"/>
        <v>0.53213131117119894</v>
      </c>
      <c r="BO20" s="3">
        <f t="shared" si="0"/>
        <v>94222.27574827522</v>
      </c>
      <c r="BP20" s="7">
        <f t="shared" si="1"/>
        <v>4.333333333333333</v>
      </c>
      <c r="BQ20" s="3"/>
      <c r="BR20" s="3"/>
      <c r="BS20" s="7"/>
      <c r="BT20" s="7">
        <f t="shared" si="9"/>
        <v>2.3923999999999999</v>
      </c>
      <c r="BU20" s="30"/>
      <c r="BV20" s="30"/>
      <c r="BW20" s="30"/>
      <c r="BY20" s="5" t="s">
        <v>100</v>
      </c>
      <c r="BZ20" s="5" t="s">
        <v>100</v>
      </c>
      <c r="CA20" s="5" t="s">
        <v>100</v>
      </c>
      <c r="CC20" s="21"/>
      <c r="CG20">
        <f>3300161/100000</f>
        <v>33.001609999999999</v>
      </c>
      <c r="CI20" s="5" t="s">
        <v>101</v>
      </c>
      <c r="CK20" t="s">
        <v>101</v>
      </c>
      <c r="CM20" s="5" t="s">
        <v>114</v>
      </c>
      <c r="CO20" t="s">
        <v>101</v>
      </c>
    </row>
    <row r="21" spans="1:93" x14ac:dyDescent="0.35">
      <c r="A21" s="3" t="s">
        <v>12</v>
      </c>
      <c r="B21" s="3" t="s">
        <v>70</v>
      </c>
      <c r="C21" s="3" t="s">
        <v>91</v>
      </c>
      <c r="D21" s="25" t="s">
        <v>118</v>
      </c>
      <c r="E21" s="3" t="s">
        <v>2</v>
      </c>
      <c r="F21" s="5"/>
      <c r="G21" s="14">
        <v>90</v>
      </c>
      <c r="H21" s="17">
        <v>108.03982999999999</v>
      </c>
      <c r="I21" s="3">
        <v>9.4148827127914245</v>
      </c>
      <c r="J21" s="4">
        <f t="shared" si="2"/>
        <v>8.7142702027496938E-2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31"/>
      <c r="R21" s="31"/>
      <c r="S21" s="31"/>
      <c r="T21" s="15"/>
      <c r="U21" s="7">
        <v>90</v>
      </c>
      <c r="V21" s="7">
        <v>90</v>
      </c>
      <c r="W21" s="3">
        <v>-18.487442015929446</v>
      </c>
      <c r="X21" s="4">
        <f t="shared" si="3"/>
        <v>-0.20541602239921605</v>
      </c>
      <c r="Y21" s="3">
        <v>101866.14273796191</v>
      </c>
      <c r="Z21" s="17">
        <v>35.5</v>
      </c>
      <c r="AA21" s="17"/>
      <c r="AB21" s="17"/>
      <c r="AC21" s="3"/>
      <c r="AD21" s="7">
        <v>0.86956521739130432</v>
      </c>
      <c r="AE21" s="30"/>
      <c r="AF21" s="30"/>
      <c r="AG21" s="30"/>
      <c r="AI21" s="3">
        <v>90</v>
      </c>
      <c r="AJ21" s="3">
        <v>90</v>
      </c>
      <c r="AK21" s="3">
        <v>-18.487442015929446</v>
      </c>
      <c r="AL21" s="4">
        <v>-0.20541602239921605</v>
      </c>
      <c r="AM21" s="3">
        <v>101866.14273796191</v>
      </c>
      <c r="AN21" s="17">
        <v>35.5</v>
      </c>
      <c r="AO21" s="17"/>
      <c r="AP21" s="17"/>
      <c r="AQ21" s="3"/>
      <c r="AR21" s="7">
        <v>0.86956521739130432</v>
      </c>
      <c r="AS21" s="30"/>
      <c r="AT21" s="30"/>
      <c r="AU21" s="30"/>
      <c r="AW21" s="17">
        <v>90</v>
      </c>
      <c r="AX21" s="17">
        <v>90</v>
      </c>
      <c r="AY21" s="17">
        <v>-18.487442015929446</v>
      </c>
      <c r="AZ21" s="4">
        <v>-0.20541602239921605</v>
      </c>
      <c r="BA21" s="3">
        <v>101866.14273796191</v>
      </c>
      <c r="BB21" s="17">
        <f t="shared" si="4"/>
        <v>35.5</v>
      </c>
      <c r="BC21" s="17"/>
      <c r="BD21" s="17"/>
      <c r="BE21" s="3"/>
      <c r="BF21" s="7">
        <v>0.86956521739130432</v>
      </c>
      <c r="BG21" s="30"/>
      <c r="BH21" s="30"/>
      <c r="BI21" s="30"/>
      <c r="BK21" s="17">
        <f t="shared" si="5"/>
        <v>360</v>
      </c>
      <c r="BL21" s="17">
        <f t="shared" si="6"/>
        <v>378.03982999999999</v>
      </c>
      <c r="BM21" s="17">
        <f t="shared" si="7"/>
        <v>-46.047443334996913</v>
      </c>
      <c r="BN21" s="4">
        <f t="shared" si="8"/>
        <v>-0.12180579843927269</v>
      </c>
      <c r="BO21" s="3">
        <f t="shared" si="0"/>
        <v>99551.003130280951</v>
      </c>
      <c r="BP21" s="7">
        <f t="shared" si="1"/>
        <v>35.5</v>
      </c>
      <c r="BQ21" s="3"/>
      <c r="BR21" s="3"/>
      <c r="BS21" s="7"/>
      <c r="BT21" s="7">
        <f t="shared" si="9"/>
        <v>0.91603823671497575</v>
      </c>
      <c r="BU21" s="30"/>
      <c r="BV21" s="30"/>
      <c r="BW21" s="30"/>
      <c r="BY21" s="5" t="s">
        <v>100</v>
      </c>
      <c r="BZ21" s="5" t="s">
        <v>100</v>
      </c>
      <c r="CA21" s="5" t="s">
        <v>100</v>
      </c>
      <c r="CC21" s="21"/>
      <c r="CE21">
        <v>26.27</v>
      </c>
      <c r="CI21" s="5" t="s">
        <v>101</v>
      </c>
      <c r="CK21" t="s">
        <v>100</v>
      </c>
      <c r="CM21" s="5" t="s">
        <v>107</v>
      </c>
      <c r="CO21" t="s">
        <v>100</v>
      </c>
    </row>
    <row r="22" spans="1:93" x14ac:dyDescent="0.35">
      <c r="A22" s="3" t="s">
        <v>22</v>
      </c>
      <c r="B22" s="3" t="s">
        <v>70</v>
      </c>
      <c r="C22" s="3" t="s">
        <v>91</v>
      </c>
      <c r="D22" s="26" t="s">
        <v>118</v>
      </c>
      <c r="E22" s="3" t="s">
        <v>2</v>
      </c>
      <c r="F22" s="5"/>
      <c r="G22" s="14">
        <v>15</v>
      </c>
      <c r="H22" s="17">
        <v>4.6449999999999996</v>
      </c>
      <c r="I22" s="3">
        <v>2.5832903000433043</v>
      </c>
      <c r="J22" s="4">
        <f t="shared" si="2"/>
        <v>0.556144305714382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31"/>
      <c r="R22" s="31"/>
      <c r="S22" s="31"/>
      <c r="T22" s="15"/>
      <c r="U22" s="7">
        <v>23</v>
      </c>
      <c r="V22" s="7">
        <v>23</v>
      </c>
      <c r="W22" s="3">
        <v>20.732119330047635</v>
      </c>
      <c r="X22" s="4">
        <f t="shared" si="3"/>
        <v>0.90139649261076671</v>
      </c>
      <c r="Y22" s="3">
        <v>113394.03349761825</v>
      </c>
      <c r="Z22" s="17">
        <v>0.66666666666666663</v>
      </c>
      <c r="AA22" s="17"/>
      <c r="AB22" s="17"/>
      <c r="AC22" s="3"/>
      <c r="AD22" s="7">
        <v>0</v>
      </c>
      <c r="AE22" s="30"/>
      <c r="AF22" s="30"/>
      <c r="AG22" s="30"/>
      <c r="AI22" s="3">
        <v>26</v>
      </c>
      <c r="AJ22" s="3">
        <v>26</v>
      </c>
      <c r="AK22" s="3">
        <v>23.732119330047635</v>
      </c>
      <c r="AL22" s="4">
        <v>0.9127738203864475</v>
      </c>
      <c r="AM22" s="3">
        <v>113394.03349761825</v>
      </c>
      <c r="AN22" s="17">
        <v>0.66666666666666663</v>
      </c>
      <c r="AO22" s="17"/>
      <c r="AP22" s="17"/>
      <c r="AQ22" s="3"/>
      <c r="AR22" s="7">
        <v>0</v>
      </c>
      <c r="AS22" s="30"/>
      <c r="AT22" s="30"/>
      <c r="AU22" s="30"/>
      <c r="AW22" s="17">
        <v>26</v>
      </c>
      <c r="AX22" s="17">
        <v>26</v>
      </c>
      <c r="AY22" s="17">
        <v>23.732119330047635</v>
      </c>
      <c r="AZ22" s="4">
        <v>0.9127738203864475</v>
      </c>
      <c r="BA22" s="3">
        <v>113394.03349761825</v>
      </c>
      <c r="BB22" s="17">
        <f t="shared" si="4"/>
        <v>0.66666666666666663</v>
      </c>
      <c r="BC22" s="17"/>
      <c r="BD22" s="17"/>
      <c r="BE22" s="3"/>
      <c r="BF22" s="7">
        <v>0</v>
      </c>
      <c r="BG22" s="30"/>
      <c r="BH22" s="30"/>
      <c r="BI22" s="30"/>
      <c r="BK22" s="17">
        <f t="shared" si="5"/>
        <v>90</v>
      </c>
      <c r="BL22" s="17">
        <f t="shared" si="6"/>
        <v>79.644999999999996</v>
      </c>
      <c r="BM22" s="17">
        <f t="shared" si="7"/>
        <v>70.779648290186202</v>
      </c>
      <c r="BN22" s="4">
        <f t="shared" si="8"/>
        <v>0.88868916178273849</v>
      </c>
      <c r="BO22" s="3">
        <f t="shared" si="0"/>
        <v>110816.89637267237</v>
      </c>
      <c r="BP22" s="7">
        <f t="shared" si="1"/>
        <v>0.66666666666666663</v>
      </c>
      <c r="BQ22" s="3"/>
      <c r="BR22" s="3"/>
      <c r="BS22" s="7"/>
      <c r="BT22" s="7">
        <f t="shared" si="9"/>
        <v>0</v>
      </c>
      <c r="BU22" s="30"/>
      <c r="BV22" s="30"/>
      <c r="BW22" s="30"/>
      <c r="BY22" s="5" t="s">
        <v>100</v>
      </c>
      <c r="BZ22" s="5" t="s">
        <v>100</v>
      </c>
      <c r="CA22" s="5" t="s">
        <v>100</v>
      </c>
      <c r="CC22" s="21"/>
      <c r="CE22">
        <v>0.1</v>
      </c>
      <c r="CI22" s="5" t="s">
        <v>101</v>
      </c>
      <c r="CK22" t="s">
        <v>101</v>
      </c>
      <c r="CM22" s="5" t="s">
        <v>107</v>
      </c>
      <c r="CO22" t="s">
        <v>101</v>
      </c>
    </row>
    <row r="23" spans="1:93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31"/>
      <c r="R23" s="31"/>
      <c r="S23" s="31"/>
      <c r="T23" s="15"/>
      <c r="U23" s="7">
        <v>4</v>
      </c>
      <c r="V23" s="7">
        <v>2.5</v>
      </c>
      <c r="W23" s="3">
        <v>-1.1348088328910904</v>
      </c>
      <c r="X23" s="4">
        <f t="shared" si="3"/>
        <v>-0.45392353315643613</v>
      </c>
      <c r="Y23" s="3">
        <v>121160.29442970302</v>
      </c>
      <c r="Z23" s="17">
        <v>1</v>
      </c>
      <c r="AA23" s="17"/>
      <c r="AB23" s="17"/>
      <c r="AC23" s="3"/>
      <c r="AD23" s="7">
        <v>1.3333333333333333</v>
      </c>
      <c r="AE23" s="30"/>
      <c r="AF23" s="30"/>
      <c r="AG23" s="30"/>
      <c r="AI23" s="3">
        <v>0</v>
      </c>
      <c r="AJ23" s="3">
        <v>0</v>
      </c>
      <c r="AK23" s="3">
        <v>-3.6348088328910904</v>
      </c>
      <c r="AL23" s="4">
        <v>0</v>
      </c>
      <c r="AM23" s="3">
        <v>121160.29442970302</v>
      </c>
      <c r="AN23" s="17">
        <v>1</v>
      </c>
      <c r="AO23" s="17"/>
      <c r="AP23" s="17"/>
      <c r="AQ23" s="3"/>
      <c r="AR23" s="7">
        <v>0</v>
      </c>
      <c r="AS23" s="30"/>
      <c r="AT23" s="30"/>
      <c r="AU23" s="30"/>
      <c r="AW23" s="17">
        <v>0</v>
      </c>
      <c r="AX23" s="17">
        <v>0</v>
      </c>
      <c r="AY23" s="17">
        <v>-3.6348088328910904</v>
      </c>
      <c r="AZ23" s="4">
        <v>0</v>
      </c>
      <c r="BA23" s="3">
        <v>121160.29442970302</v>
      </c>
      <c r="BB23" s="17">
        <f t="shared" si="4"/>
        <v>1</v>
      </c>
      <c r="BC23" s="17"/>
      <c r="BD23" s="17"/>
      <c r="BE23" s="3"/>
      <c r="BF23" s="7">
        <v>0</v>
      </c>
      <c r="BG23" s="30"/>
      <c r="BH23" s="30"/>
      <c r="BI23" s="30"/>
      <c r="BK23" s="17">
        <f t="shared" si="5"/>
        <v>8</v>
      </c>
      <c r="BL23" s="17">
        <f t="shared" si="6"/>
        <v>5.18445</v>
      </c>
      <c r="BM23" s="17">
        <f t="shared" si="7"/>
        <v>-9.0243481649378978</v>
      </c>
      <c r="BN23" s="4">
        <f t="shared" si="8"/>
        <v>-1.7406568035062346</v>
      </c>
      <c r="BO23" s="3">
        <f t="shared" si="0"/>
        <v>118406.65137448251</v>
      </c>
      <c r="BP23" s="7">
        <f t="shared" si="1"/>
        <v>1</v>
      </c>
      <c r="BQ23" s="3"/>
      <c r="BR23" s="3"/>
      <c r="BS23" s="7"/>
      <c r="BT23" s="7">
        <f t="shared" si="9"/>
        <v>0.55703749999999996</v>
      </c>
      <c r="BU23" s="30"/>
      <c r="BV23" s="30"/>
      <c r="BW23" s="30"/>
      <c r="BY23" s="5" t="s">
        <v>100</v>
      </c>
      <c r="BZ23" s="5" t="s">
        <v>100</v>
      </c>
      <c r="CA23" s="5" t="s">
        <v>100</v>
      </c>
      <c r="CC23" s="21">
        <v>6.22</v>
      </c>
      <c r="CE23">
        <v>0.68</v>
      </c>
      <c r="CG23">
        <f>1692607/100000</f>
        <v>16.926069999999999</v>
      </c>
      <c r="CI23" s="5" t="s">
        <v>101</v>
      </c>
      <c r="CK23" t="s">
        <v>101</v>
      </c>
      <c r="CM23" s="5"/>
      <c r="CO23" t="s">
        <v>101</v>
      </c>
    </row>
    <row r="24" spans="1:93" x14ac:dyDescent="0.35">
      <c r="A24" s="3" t="s">
        <v>45</v>
      </c>
      <c r="B24" s="3" t="s">
        <v>70</v>
      </c>
      <c r="C24" s="3" t="s">
        <v>92</v>
      </c>
      <c r="D24" s="25" t="s">
        <v>118</v>
      </c>
      <c r="E24" s="3" t="s">
        <v>95</v>
      </c>
      <c r="F24" s="5"/>
      <c r="G24" s="14">
        <v>32</v>
      </c>
      <c r="H24" s="17">
        <v>8.9005700000000001</v>
      </c>
      <c r="I24" s="3">
        <v>-6.2251834685570149</v>
      </c>
      <c r="J24" s="4">
        <f t="shared" si="2"/>
        <v>-0.69941402276000464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31"/>
      <c r="R24" s="31"/>
      <c r="S24" s="31"/>
      <c r="T24" s="15"/>
      <c r="U24" s="7">
        <v>29</v>
      </c>
      <c r="V24" s="7">
        <v>29</v>
      </c>
      <c r="W24" s="3">
        <v>12.361671184587284</v>
      </c>
      <c r="X24" s="4">
        <f t="shared" si="3"/>
        <v>0.42626452360645806</v>
      </c>
      <c r="Y24" s="3">
        <v>110922.19210275145</v>
      </c>
      <c r="Z24" s="17">
        <v>5</v>
      </c>
      <c r="AA24" s="17"/>
      <c r="AB24" s="17"/>
      <c r="AC24" s="3"/>
      <c r="AD24" s="7">
        <v>3.118279569892473</v>
      </c>
      <c r="AE24" s="30"/>
      <c r="AF24" s="30"/>
      <c r="AG24" s="30"/>
      <c r="AI24" s="3">
        <v>29</v>
      </c>
      <c r="AJ24" s="3">
        <v>29</v>
      </c>
      <c r="AK24" s="3">
        <v>12.361671184587284</v>
      </c>
      <c r="AL24" s="4">
        <v>0.42626452360645806</v>
      </c>
      <c r="AM24" s="3">
        <v>110922.19210275145</v>
      </c>
      <c r="AN24" s="17">
        <v>5</v>
      </c>
      <c r="AO24" s="17"/>
      <c r="AP24" s="17"/>
      <c r="AQ24" s="3"/>
      <c r="AR24" s="7">
        <v>3.118279569892473</v>
      </c>
      <c r="AS24" s="30"/>
      <c r="AT24" s="30"/>
      <c r="AU24" s="30"/>
      <c r="AW24" s="17">
        <v>30</v>
      </c>
      <c r="AX24" s="17">
        <v>30</v>
      </c>
      <c r="AY24" s="17">
        <v>13.361671184587284</v>
      </c>
      <c r="AZ24" s="4">
        <v>0.44538903948624281</v>
      </c>
      <c r="BA24" s="3">
        <v>110922.19210275145</v>
      </c>
      <c r="BB24" s="17">
        <f t="shared" si="4"/>
        <v>5</v>
      </c>
      <c r="BC24" s="17"/>
      <c r="BD24" s="17"/>
      <c r="BE24" s="3"/>
      <c r="BF24" s="7">
        <v>3.225806451612903</v>
      </c>
      <c r="BG24" s="30"/>
      <c r="BH24" s="30"/>
      <c r="BI24" s="30"/>
      <c r="BK24" s="17">
        <f t="shared" si="5"/>
        <v>120</v>
      </c>
      <c r="BL24" s="17">
        <f t="shared" si="6"/>
        <v>96.900570000000002</v>
      </c>
      <c r="BM24" s="17">
        <f t="shared" si="7"/>
        <v>31.859830085204841</v>
      </c>
      <c r="BN24" s="4">
        <f t="shared" si="8"/>
        <v>0.32878888210053708</v>
      </c>
      <c r="BO24" s="3">
        <f t="shared" si="0"/>
        <v>108401.23319132529</v>
      </c>
      <c r="BP24" s="7">
        <f t="shared" si="1"/>
        <v>5</v>
      </c>
      <c r="BQ24" s="3"/>
      <c r="BR24" s="3"/>
      <c r="BS24" s="7"/>
      <c r="BT24" s="7">
        <f t="shared" si="9"/>
        <v>2.707273387096774</v>
      </c>
      <c r="BU24" s="30"/>
      <c r="BV24" s="30"/>
      <c r="BW24" s="30"/>
      <c r="BY24" s="5" t="s">
        <v>100</v>
      </c>
      <c r="BZ24" s="5" t="s">
        <v>100</v>
      </c>
      <c r="CA24" s="5" t="s">
        <v>100</v>
      </c>
      <c r="CC24" s="21"/>
      <c r="CG24">
        <f>10643418/100000</f>
        <v>106.43418</v>
      </c>
      <c r="CI24" s="5" t="s">
        <v>101</v>
      </c>
      <c r="CK24" t="s">
        <v>101</v>
      </c>
      <c r="CM24" s="5" t="s">
        <v>106</v>
      </c>
      <c r="CO24" t="s">
        <v>101</v>
      </c>
    </row>
    <row r="25" spans="1:93" x14ac:dyDescent="0.35">
      <c r="A25" s="3" t="s">
        <v>3</v>
      </c>
      <c r="B25" s="3" t="s">
        <v>70</v>
      </c>
      <c r="C25" s="3" t="s">
        <v>86</v>
      </c>
      <c r="D25" s="25" t="s">
        <v>118</v>
      </c>
      <c r="E25" s="3" t="s">
        <v>2</v>
      </c>
      <c r="F25" s="5"/>
      <c r="G25" s="14">
        <v>21</v>
      </c>
      <c r="H25" s="17">
        <v>30.495699999999999</v>
      </c>
      <c r="I25" s="3">
        <v>15.513742816992021</v>
      </c>
      <c r="J25" s="4">
        <f t="shared" si="2"/>
        <v>0.5087190265182312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31"/>
      <c r="R25" s="31"/>
      <c r="S25" s="31"/>
      <c r="T25" s="15"/>
      <c r="U25" s="7">
        <v>22</v>
      </c>
      <c r="V25" s="7">
        <v>22</v>
      </c>
      <c r="W25" s="3">
        <v>5.5198470986912227</v>
      </c>
      <c r="X25" s="4">
        <f t="shared" si="3"/>
        <v>0.25090214084960105</v>
      </c>
      <c r="Y25" s="3">
        <v>109867.68600872517</v>
      </c>
      <c r="Z25" s="17">
        <v>5</v>
      </c>
      <c r="AA25" s="17"/>
      <c r="AB25" s="17"/>
      <c r="AC25" s="3"/>
      <c r="AD25" s="7">
        <v>1.8333333333333333</v>
      </c>
      <c r="AE25" s="30"/>
      <c r="AF25" s="30"/>
      <c r="AG25" s="30"/>
      <c r="AI25" s="3">
        <v>22</v>
      </c>
      <c r="AJ25" s="3">
        <v>22</v>
      </c>
      <c r="AK25" s="3">
        <v>5.5198470986912227</v>
      </c>
      <c r="AL25" s="4">
        <v>0.25090214084960105</v>
      </c>
      <c r="AM25" s="3">
        <v>109867.68600872517</v>
      </c>
      <c r="AN25" s="17">
        <v>5</v>
      </c>
      <c r="AO25" s="17"/>
      <c r="AP25" s="17"/>
      <c r="AQ25" s="3"/>
      <c r="AR25" s="7">
        <v>1.8333333333333333</v>
      </c>
      <c r="AS25" s="30"/>
      <c r="AT25" s="30"/>
      <c r="AU25" s="30"/>
      <c r="AW25" s="17">
        <v>21.5</v>
      </c>
      <c r="AX25" s="17">
        <v>21.5</v>
      </c>
      <c r="AY25" s="17">
        <v>5.0198470986912227</v>
      </c>
      <c r="AZ25" s="4">
        <v>0.23348126040424291</v>
      </c>
      <c r="BA25" s="3">
        <v>109867.68600872517</v>
      </c>
      <c r="BB25" s="17">
        <f t="shared" si="4"/>
        <v>5</v>
      </c>
      <c r="BC25" s="17"/>
      <c r="BD25" s="17"/>
      <c r="BE25" s="3"/>
      <c r="BF25" s="7">
        <v>1.7916666666666667</v>
      </c>
      <c r="BG25" s="30"/>
      <c r="BH25" s="30"/>
      <c r="BI25" s="30"/>
      <c r="BK25" s="17">
        <f t="shared" si="5"/>
        <v>86.5</v>
      </c>
      <c r="BL25" s="17">
        <f t="shared" si="6"/>
        <v>95.995699999999999</v>
      </c>
      <c r="BM25" s="17">
        <f t="shared" si="7"/>
        <v>31.573284113065689</v>
      </c>
      <c r="BN25" s="4">
        <f t="shared" si="8"/>
        <v>0.32890310829616004</v>
      </c>
      <c r="BO25" s="3">
        <f t="shared" si="0"/>
        <v>107370.69314489051</v>
      </c>
      <c r="BP25" s="7">
        <f t="shared" si="1"/>
        <v>5</v>
      </c>
      <c r="BQ25" s="3"/>
      <c r="BR25" s="3"/>
      <c r="BS25" s="7"/>
      <c r="BT25" s="7">
        <f t="shared" si="9"/>
        <v>1.9794937500000001</v>
      </c>
      <c r="BU25" s="30"/>
      <c r="BV25" s="30"/>
      <c r="BW25" s="30"/>
      <c r="BY25" s="5" t="s">
        <v>100</v>
      </c>
      <c r="BZ25" s="5" t="s">
        <v>100</v>
      </c>
      <c r="CA25" s="5" t="s">
        <v>100</v>
      </c>
      <c r="CC25" s="21"/>
      <c r="CG25">
        <f>1952868/100000</f>
        <v>19.528680000000001</v>
      </c>
      <c r="CI25" s="5" t="s">
        <v>101</v>
      </c>
      <c r="CK25" t="s">
        <v>100</v>
      </c>
      <c r="CM25" s="5" t="s">
        <v>115</v>
      </c>
      <c r="CO25" t="s">
        <v>101</v>
      </c>
    </row>
    <row r="26" spans="1:93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58.223479999999995</v>
      </c>
      <c r="I26" s="3">
        <v>-7.3742335619042478</v>
      </c>
      <c r="J26" s="4">
        <f t="shared" si="2"/>
        <v>-0.12665394720316012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31"/>
      <c r="R26" s="31"/>
      <c r="S26" s="31"/>
      <c r="T26" s="15"/>
      <c r="U26" s="7">
        <v>48</v>
      </c>
      <c r="V26" s="7">
        <v>48</v>
      </c>
      <c r="W26" s="3">
        <v>-24.157484918094681</v>
      </c>
      <c r="X26" s="4">
        <f t="shared" si="3"/>
        <v>-0.50328093579363919</v>
      </c>
      <c r="Y26" s="3">
        <v>128852.65163945478</v>
      </c>
      <c r="Z26" s="17">
        <v>18.666666666666668</v>
      </c>
      <c r="AA26" s="17"/>
      <c r="AB26" s="17"/>
      <c r="AC26" s="3"/>
      <c r="AD26" s="7">
        <v>0.94117647058823528</v>
      </c>
      <c r="AE26" s="30"/>
      <c r="AF26" s="30"/>
      <c r="AG26" s="30"/>
      <c r="AI26" s="3">
        <v>48</v>
      </c>
      <c r="AJ26" s="3">
        <v>48</v>
      </c>
      <c r="AK26" s="3">
        <v>-24.157484918094681</v>
      </c>
      <c r="AL26" s="4">
        <v>-0.50328093579363919</v>
      </c>
      <c r="AM26" s="3">
        <v>128852.65163945478</v>
      </c>
      <c r="AN26" s="17">
        <v>18.666666666666668</v>
      </c>
      <c r="AO26" s="17"/>
      <c r="AP26" s="17"/>
      <c r="AQ26" s="3"/>
      <c r="AR26" s="7">
        <v>0.94117647058823528</v>
      </c>
      <c r="AS26" s="30"/>
      <c r="AT26" s="30"/>
      <c r="AU26" s="30"/>
      <c r="AW26" s="17">
        <v>48</v>
      </c>
      <c r="AX26" s="17">
        <v>48</v>
      </c>
      <c r="AY26" s="17">
        <v>-24.157484918094681</v>
      </c>
      <c r="AZ26" s="4">
        <v>-0.50328093579363919</v>
      </c>
      <c r="BA26" s="3">
        <v>128852.65163945478</v>
      </c>
      <c r="BB26" s="17">
        <f t="shared" si="4"/>
        <v>18.666666666666668</v>
      </c>
      <c r="BC26" s="17"/>
      <c r="BD26" s="17"/>
      <c r="BE26" s="3"/>
      <c r="BF26" s="7">
        <v>0.94117647058823528</v>
      </c>
      <c r="BG26" s="30"/>
      <c r="BH26" s="30"/>
      <c r="BI26" s="30"/>
      <c r="BK26" s="17">
        <f t="shared" si="5"/>
        <v>192</v>
      </c>
      <c r="BL26" s="17">
        <f t="shared" si="6"/>
        <v>202.22348</v>
      </c>
      <c r="BM26" s="17">
        <f t="shared" si="7"/>
        <v>-79.846688316188292</v>
      </c>
      <c r="BN26" s="4">
        <f t="shared" si="8"/>
        <v>-0.39484380506253919</v>
      </c>
      <c r="BO26" s="3">
        <f t="shared" si="0"/>
        <v>125924.18228401261</v>
      </c>
      <c r="BP26" s="7">
        <f t="shared" si="1"/>
        <v>18.666666666666668</v>
      </c>
      <c r="BQ26" s="3"/>
      <c r="BR26" s="3"/>
      <c r="BS26" s="7"/>
      <c r="BT26" s="7">
        <f t="shared" si="9"/>
        <v>0.94227196078431374</v>
      </c>
      <c r="BU26" s="30"/>
      <c r="BV26" s="30"/>
      <c r="BW26" s="30"/>
      <c r="BY26" s="5" t="s">
        <v>100</v>
      </c>
      <c r="BZ26" s="5" t="s">
        <v>100</v>
      </c>
      <c r="CA26" s="5" t="s">
        <v>100</v>
      </c>
      <c r="CC26" s="21"/>
      <c r="CE26">
        <v>24.22</v>
      </c>
      <c r="CG26">
        <f>5954090/100000</f>
        <v>59.540900000000001</v>
      </c>
      <c r="CI26" s="5" t="s">
        <v>101</v>
      </c>
      <c r="CK26" t="s">
        <v>101</v>
      </c>
      <c r="CM26" s="5"/>
      <c r="CO26" t="s">
        <v>101</v>
      </c>
    </row>
    <row r="27" spans="1:93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31"/>
      <c r="R27" s="31"/>
      <c r="S27" s="31"/>
      <c r="T27" s="15"/>
      <c r="U27" s="7">
        <v>4</v>
      </c>
      <c r="V27" s="7">
        <v>3</v>
      </c>
      <c r="W27" s="3">
        <v>1.5665072492101253</v>
      </c>
      <c r="X27" s="4">
        <f t="shared" si="3"/>
        <v>0.52216908307004173</v>
      </c>
      <c r="Y27" s="3">
        <v>143349.27507898747</v>
      </c>
      <c r="Z27" s="17">
        <v>0.33333333333333331</v>
      </c>
      <c r="AA27" s="17"/>
      <c r="AB27" s="17"/>
      <c r="AC27" s="3"/>
      <c r="AD27" s="7">
        <v>0</v>
      </c>
      <c r="AE27" s="30"/>
      <c r="AF27" s="30"/>
      <c r="AG27" s="30"/>
      <c r="AI27" s="3">
        <v>2</v>
      </c>
      <c r="AJ27" s="3">
        <v>2</v>
      </c>
      <c r="AK27" s="3">
        <v>0.5665072492101253</v>
      </c>
      <c r="AL27" s="4">
        <v>0.28325362460506265</v>
      </c>
      <c r="AM27" s="3">
        <v>143349.27507898747</v>
      </c>
      <c r="AN27" s="17">
        <v>0.33333333333333331</v>
      </c>
      <c r="AO27" s="17"/>
      <c r="AP27" s="17"/>
      <c r="AQ27" s="3"/>
      <c r="AR27" s="7">
        <v>0</v>
      </c>
      <c r="AS27" s="30"/>
      <c r="AT27" s="30"/>
      <c r="AU27" s="30"/>
      <c r="AW27" s="17">
        <v>1</v>
      </c>
      <c r="AX27" s="17">
        <v>1</v>
      </c>
      <c r="AY27" s="17">
        <v>-0.4334927507898747</v>
      </c>
      <c r="AZ27" s="4">
        <v>-0.4334927507898747</v>
      </c>
      <c r="BA27" s="3">
        <v>143349.27507898747</v>
      </c>
      <c r="BB27" s="17">
        <f t="shared" si="4"/>
        <v>0.33333333333333331</v>
      </c>
      <c r="BC27" s="17"/>
      <c r="BD27" s="17"/>
      <c r="BE27" s="3"/>
      <c r="BF27" s="7">
        <v>0</v>
      </c>
      <c r="BG27" s="30"/>
      <c r="BH27" s="30"/>
      <c r="BI27" s="30"/>
      <c r="BK27" s="17">
        <f t="shared" si="5"/>
        <v>25</v>
      </c>
      <c r="BL27" s="17">
        <f t="shared" si="6"/>
        <v>6</v>
      </c>
      <c r="BM27" s="17">
        <f t="shared" si="7"/>
        <v>0.39634651963958101</v>
      </c>
      <c r="BN27" s="4">
        <f t="shared" si="8"/>
        <v>6.6057753273263506E-2</v>
      </c>
      <c r="BO27" s="3">
        <f t="shared" si="0"/>
        <v>140091.33700901049</v>
      </c>
      <c r="BP27" s="7">
        <f t="shared" si="1"/>
        <v>0.33333333333333331</v>
      </c>
      <c r="BQ27" s="3"/>
      <c r="BR27" s="3"/>
      <c r="BS27" s="7"/>
      <c r="BT27" s="7">
        <f t="shared" si="9"/>
        <v>0</v>
      </c>
      <c r="BU27" s="30"/>
      <c r="BV27" s="30"/>
      <c r="BW27" s="30"/>
      <c r="BY27" s="5" t="s">
        <v>100</v>
      </c>
      <c r="BZ27" s="5" t="s">
        <v>100</v>
      </c>
      <c r="CA27" s="5" t="s">
        <v>100</v>
      </c>
      <c r="CC27" s="21"/>
      <c r="CI27" s="5" t="s">
        <v>101</v>
      </c>
      <c r="CK27" t="s">
        <v>101</v>
      </c>
      <c r="CM27" s="5"/>
      <c r="CO27" t="s">
        <v>101</v>
      </c>
    </row>
    <row r="28" spans="1:93" x14ac:dyDescent="0.35">
      <c r="A28" s="3" t="s">
        <v>47</v>
      </c>
      <c r="B28" s="3" t="s">
        <v>70</v>
      </c>
      <c r="C28" s="3" t="s">
        <v>92</v>
      </c>
      <c r="D28" s="25" t="s">
        <v>118</v>
      </c>
      <c r="E28" s="3" t="s">
        <v>95</v>
      </c>
      <c r="F28" s="5"/>
      <c r="G28" s="14">
        <v>33</v>
      </c>
      <c r="H28" s="17">
        <v>33.69</v>
      </c>
      <c r="I28" s="3">
        <v>0.37719727456158836</v>
      </c>
      <c r="J28" s="4">
        <f t="shared" si="2"/>
        <v>1.1196119755464185E-2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31"/>
      <c r="R28" s="31"/>
      <c r="S28" s="31"/>
      <c r="T28" s="15"/>
      <c r="U28" s="7">
        <v>50</v>
      </c>
      <c r="V28" s="7">
        <v>50</v>
      </c>
      <c r="W28" s="3">
        <v>13.355917002017748</v>
      </c>
      <c r="X28" s="4">
        <f t="shared" si="3"/>
        <v>0.26711834004035495</v>
      </c>
      <c r="Y28" s="3">
        <v>91610.207494955641</v>
      </c>
      <c r="Z28" s="17">
        <v>13.333333333333334</v>
      </c>
      <c r="AA28" s="17"/>
      <c r="AB28" s="17"/>
      <c r="AC28" s="3"/>
      <c r="AD28" s="7">
        <v>1.4749262536873153</v>
      </c>
      <c r="AE28" s="30"/>
      <c r="AF28" s="30"/>
      <c r="AG28" s="30"/>
      <c r="AI28" s="3">
        <v>58</v>
      </c>
      <c r="AJ28" s="3">
        <v>58</v>
      </c>
      <c r="AK28" s="3">
        <v>21.355917002017748</v>
      </c>
      <c r="AL28" s="4">
        <v>0.36820546555203015</v>
      </c>
      <c r="AM28" s="3">
        <v>91610.207494955641</v>
      </c>
      <c r="AN28" s="17">
        <v>13.333333333333334</v>
      </c>
      <c r="AO28" s="17"/>
      <c r="AP28" s="17"/>
      <c r="AQ28" s="3"/>
      <c r="AR28" s="7">
        <v>1.7109144542772858</v>
      </c>
      <c r="AS28" s="30"/>
      <c r="AT28" s="30"/>
      <c r="AU28" s="30"/>
      <c r="AW28" s="17">
        <v>38</v>
      </c>
      <c r="AX28" s="17">
        <v>38</v>
      </c>
      <c r="AY28" s="17">
        <v>1.3559170020177476</v>
      </c>
      <c r="AZ28" s="4">
        <v>3.5682026368888092E-2</v>
      </c>
      <c r="BA28" s="3">
        <v>91610.207494955641</v>
      </c>
      <c r="BB28" s="17">
        <f t="shared" si="4"/>
        <v>13.333333333333334</v>
      </c>
      <c r="BC28" s="17"/>
      <c r="BD28" s="17"/>
      <c r="BE28" s="3"/>
      <c r="BF28" s="7">
        <v>1.1209439528023597</v>
      </c>
      <c r="BG28" s="30"/>
      <c r="BH28" s="30"/>
      <c r="BI28" s="30"/>
      <c r="BK28" s="17">
        <f t="shared" si="5"/>
        <v>179</v>
      </c>
      <c r="BL28" s="17">
        <f t="shared" si="6"/>
        <v>179.69</v>
      </c>
      <c r="BM28" s="17">
        <f t="shared" si="7"/>
        <v>36.444948280614831</v>
      </c>
      <c r="BN28" s="4">
        <f t="shared" si="8"/>
        <v>0.20282123813576064</v>
      </c>
      <c r="BO28" s="3">
        <f t="shared" si="0"/>
        <v>89528.157324615735</v>
      </c>
      <c r="BP28" s="7">
        <f t="shared" si="1"/>
        <v>13.333333333333334</v>
      </c>
      <c r="BQ28" s="3"/>
      <c r="BR28" s="3"/>
      <c r="BS28" s="7"/>
      <c r="BT28" s="7">
        <f t="shared" si="9"/>
        <v>1.3221976401179938</v>
      </c>
      <c r="BU28" s="30"/>
      <c r="BV28" s="30"/>
      <c r="BW28" s="30"/>
      <c r="BY28" s="5" t="s">
        <v>100</v>
      </c>
      <c r="BZ28" s="5" t="s">
        <v>100</v>
      </c>
      <c r="CA28" s="5" t="s">
        <v>100</v>
      </c>
      <c r="CC28" s="21"/>
      <c r="CI28" s="5" t="s">
        <v>101</v>
      </c>
      <c r="CK28" t="s">
        <v>100</v>
      </c>
      <c r="CM28" s="5" t="s">
        <v>106</v>
      </c>
      <c r="CO28" t="s">
        <v>101</v>
      </c>
    </row>
    <row r="29" spans="1:93" x14ac:dyDescent="0.35">
      <c r="A29" s="3" t="s">
        <v>5</v>
      </c>
      <c r="B29" s="3" t="s">
        <v>70</v>
      </c>
      <c r="C29" s="3" t="s">
        <v>86</v>
      </c>
      <c r="D29" s="25" t="s">
        <v>118</v>
      </c>
      <c r="E29" s="3" t="s">
        <v>2</v>
      </c>
      <c r="F29" s="5"/>
      <c r="G29" s="14">
        <v>12</v>
      </c>
      <c r="H29" s="17">
        <v>38.650710000000004</v>
      </c>
      <c r="I29" s="3">
        <v>19.38208951356938</v>
      </c>
      <c r="J29" s="4">
        <f t="shared" si="2"/>
        <v>0.50146787765527145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31"/>
      <c r="R29" s="31"/>
      <c r="S29" s="31"/>
      <c r="T29" s="15"/>
      <c r="U29" s="7">
        <v>16</v>
      </c>
      <c r="V29" s="7">
        <v>16</v>
      </c>
      <c r="W29" s="3">
        <v>-5.1954825350736868</v>
      </c>
      <c r="X29" s="4">
        <f t="shared" si="3"/>
        <v>-0.32471765844210543</v>
      </c>
      <c r="Y29" s="3">
        <v>100930.86921463661</v>
      </c>
      <c r="Z29" s="17">
        <v>7</v>
      </c>
      <c r="AA29" s="17"/>
      <c r="AB29" s="17"/>
      <c r="AC29" s="3"/>
      <c r="AD29" s="7">
        <v>0.88888888888888884</v>
      </c>
      <c r="AE29" s="30"/>
      <c r="AF29" s="30"/>
      <c r="AG29" s="30"/>
      <c r="AI29" s="3">
        <v>16</v>
      </c>
      <c r="AJ29" s="3">
        <v>16</v>
      </c>
      <c r="AK29" s="3">
        <v>-5.1954825350736868</v>
      </c>
      <c r="AL29" s="4">
        <v>-0.32471765844210543</v>
      </c>
      <c r="AM29" s="3">
        <v>100930.86921463661</v>
      </c>
      <c r="AN29" s="17">
        <v>7</v>
      </c>
      <c r="AO29" s="17"/>
      <c r="AP29" s="17"/>
      <c r="AQ29" s="3"/>
      <c r="AR29" s="7">
        <v>0.88888888888888884</v>
      </c>
      <c r="AS29" s="30"/>
      <c r="AT29" s="30"/>
      <c r="AU29" s="30"/>
      <c r="AW29" s="17">
        <v>16</v>
      </c>
      <c r="AX29" s="17">
        <v>16</v>
      </c>
      <c r="AY29" s="17">
        <v>-5.1954825350736868</v>
      </c>
      <c r="AZ29" s="4">
        <v>-0.32471765844210543</v>
      </c>
      <c r="BA29" s="3">
        <v>100930.86921463661</v>
      </c>
      <c r="BB29" s="17">
        <f t="shared" si="4"/>
        <v>7</v>
      </c>
      <c r="BC29" s="17"/>
      <c r="BD29" s="17"/>
      <c r="BE29" s="3"/>
      <c r="BF29" s="7">
        <v>0.88888888888888884</v>
      </c>
      <c r="BG29" s="30"/>
      <c r="BH29" s="30"/>
      <c r="BI29" s="30"/>
      <c r="BK29" s="17">
        <f t="shared" si="5"/>
        <v>60</v>
      </c>
      <c r="BL29" s="17">
        <f t="shared" si="6"/>
        <v>86.650710000000004</v>
      </c>
      <c r="BM29" s="17">
        <f t="shared" si="7"/>
        <v>3.795641908348319</v>
      </c>
      <c r="BN29" s="4">
        <f t="shared" si="8"/>
        <v>4.3803933151249641E-2</v>
      </c>
      <c r="BO29" s="3">
        <f t="shared" si="0"/>
        <v>98636.985823394876</v>
      </c>
      <c r="BP29" s="7">
        <f t="shared" si="1"/>
        <v>7</v>
      </c>
      <c r="BQ29" s="3"/>
      <c r="BR29" s="3"/>
      <c r="BS29" s="7"/>
      <c r="BT29" s="7">
        <f t="shared" si="9"/>
        <v>0.92848208333333326</v>
      </c>
      <c r="BU29" s="30"/>
      <c r="BV29" s="30"/>
      <c r="BW29" s="30"/>
      <c r="BY29" s="5" t="s">
        <v>100</v>
      </c>
      <c r="BZ29" s="5" t="s">
        <v>100</v>
      </c>
      <c r="CA29" s="5" t="s">
        <v>100</v>
      </c>
      <c r="CC29" s="21"/>
      <c r="CG29">
        <f>1992034/100000</f>
        <v>19.920339999999999</v>
      </c>
      <c r="CI29" s="5" t="s">
        <v>101</v>
      </c>
      <c r="CK29" t="s">
        <v>101</v>
      </c>
      <c r="CM29" s="5" t="s">
        <v>115</v>
      </c>
      <c r="CO29" t="s">
        <v>101</v>
      </c>
    </row>
    <row r="30" spans="1:93" x14ac:dyDescent="0.35">
      <c r="A30" s="3" t="s">
        <v>21</v>
      </c>
      <c r="B30" s="3" t="s">
        <v>70</v>
      </c>
      <c r="C30" s="3" t="s">
        <v>93</v>
      </c>
      <c r="D30" s="26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31"/>
      <c r="R30" s="31"/>
      <c r="S30" s="31"/>
      <c r="T30" s="15"/>
      <c r="U30" s="7">
        <v>3</v>
      </c>
      <c r="V30" s="7">
        <v>3</v>
      </c>
      <c r="W30" s="3">
        <v>3</v>
      </c>
      <c r="X30" s="4">
        <f t="shared" si="3"/>
        <v>1</v>
      </c>
      <c r="Y30" s="3">
        <v>121000.00000000001</v>
      </c>
      <c r="Z30" s="17">
        <v>0</v>
      </c>
      <c r="AA30" s="17"/>
      <c r="AB30" s="17"/>
      <c r="AC30" s="3"/>
      <c r="AD30" s="7">
        <v>0</v>
      </c>
      <c r="AE30" s="30"/>
      <c r="AF30" s="30"/>
      <c r="AG30" s="30"/>
      <c r="AI30" s="3">
        <v>2</v>
      </c>
      <c r="AJ30" s="3">
        <v>2</v>
      </c>
      <c r="AK30" s="3">
        <v>2</v>
      </c>
      <c r="AL30" s="4">
        <v>1</v>
      </c>
      <c r="AM30" s="3">
        <v>133100.00000000003</v>
      </c>
      <c r="AN30" s="17">
        <v>0</v>
      </c>
      <c r="AO30" s="17"/>
      <c r="AP30" s="17"/>
      <c r="AQ30" s="3"/>
      <c r="AR30" s="7">
        <v>0</v>
      </c>
      <c r="AS30" s="30"/>
      <c r="AT30" s="30"/>
      <c r="AU30" s="30"/>
      <c r="AW30" s="17">
        <v>2</v>
      </c>
      <c r="AX30" s="17">
        <v>2</v>
      </c>
      <c r="AY30" s="17">
        <v>2</v>
      </c>
      <c r="AZ30" s="4">
        <v>1</v>
      </c>
      <c r="BA30" s="3">
        <v>146410.00000000006</v>
      </c>
      <c r="BB30" s="17">
        <f t="shared" si="4"/>
        <v>0</v>
      </c>
      <c r="BC30" s="17"/>
      <c r="BD30" s="17"/>
      <c r="BE30" s="3"/>
      <c r="BF30" s="7">
        <v>0</v>
      </c>
      <c r="BG30" s="30"/>
      <c r="BH30" s="30"/>
      <c r="BI30" s="30"/>
      <c r="BK30" s="17">
        <f t="shared" si="5"/>
        <v>10</v>
      </c>
      <c r="BL30" s="17">
        <f t="shared" si="6"/>
        <v>8.8000000000000007</v>
      </c>
      <c r="BM30" s="17">
        <f t="shared" si="7"/>
        <v>8.8000000000000007</v>
      </c>
      <c r="BN30" s="4">
        <f t="shared" si="8"/>
        <v>1</v>
      </c>
      <c r="BO30" s="3">
        <f t="shared" si="0"/>
        <v>127627.50000000001</v>
      </c>
      <c r="BP30" s="7">
        <f t="shared" si="1"/>
        <v>0</v>
      </c>
      <c r="BQ30" s="3"/>
      <c r="BR30" s="3"/>
      <c r="BS30" s="7"/>
      <c r="BT30" s="7">
        <f t="shared" si="9"/>
        <v>0</v>
      </c>
      <c r="BU30" s="30"/>
      <c r="BV30" s="30"/>
      <c r="BW30" s="30"/>
      <c r="BY30" s="5" t="s">
        <v>100</v>
      </c>
      <c r="BZ30" s="5" t="s">
        <v>100</v>
      </c>
      <c r="CA30" s="5" t="s">
        <v>100</v>
      </c>
      <c r="CC30" s="21"/>
      <c r="CI30" s="5" t="s">
        <v>101</v>
      </c>
      <c r="CK30" t="s">
        <v>101</v>
      </c>
      <c r="CM30" s="5"/>
      <c r="CO30" t="s">
        <v>101</v>
      </c>
    </row>
    <row r="31" spans="1:93" x14ac:dyDescent="0.35">
      <c r="A31" s="3" t="s">
        <v>48</v>
      </c>
      <c r="B31" s="3" t="s">
        <v>70</v>
      </c>
      <c r="C31" s="3" t="s">
        <v>92</v>
      </c>
      <c r="D31" s="25" t="s">
        <v>118</v>
      </c>
      <c r="E31" s="3" t="s">
        <v>95</v>
      </c>
      <c r="F31" s="5"/>
      <c r="G31" s="14">
        <v>100</v>
      </c>
      <c r="H31" s="17">
        <v>83.5</v>
      </c>
      <c r="I31" s="3">
        <v>6.6859393757712553</v>
      </c>
      <c r="J31" s="4">
        <f t="shared" si="2"/>
        <v>8.0071130248757547E-2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31"/>
      <c r="R31" s="31"/>
      <c r="S31" s="31"/>
      <c r="T31" s="15"/>
      <c r="U31" s="7">
        <v>127</v>
      </c>
      <c r="V31" s="7">
        <v>127</v>
      </c>
      <c r="W31" s="3">
        <v>42.504533313348389</v>
      </c>
      <c r="X31" s="4">
        <f t="shared" si="3"/>
        <v>0.33468136467203458</v>
      </c>
      <c r="Y31" s="3">
        <v>101801.76709235135</v>
      </c>
      <c r="Z31" s="17">
        <v>27.666666666666668</v>
      </c>
      <c r="AA31" s="17"/>
      <c r="AB31" s="17"/>
      <c r="AC31" s="3"/>
      <c r="AD31" s="7">
        <v>1.7862165963431789</v>
      </c>
      <c r="AE31" s="30"/>
      <c r="AF31" s="30"/>
      <c r="AG31" s="30"/>
      <c r="AI31" s="3">
        <v>133</v>
      </c>
      <c r="AJ31" s="3">
        <v>133</v>
      </c>
      <c r="AK31" s="3">
        <v>48.504533313348389</v>
      </c>
      <c r="AL31" s="4">
        <v>0.36469573919810822</v>
      </c>
      <c r="AM31" s="3">
        <v>101801.76709235135</v>
      </c>
      <c r="AN31" s="17">
        <v>27.666666666666668</v>
      </c>
      <c r="AO31" s="17"/>
      <c r="AP31" s="17"/>
      <c r="AQ31" s="3"/>
      <c r="AR31" s="7">
        <v>1.8706047819971872</v>
      </c>
      <c r="AS31" s="30"/>
      <c r="AT31" s="30"/>
      <c r="AU31" s="30"/>
      <c r="AW31" s="17">
        <v>120</v>
      </c>
      <c r="AX31" s="17">
        <v>120</v>
      </c>
      <c r="AY31" s="17">
        <v>35.504533313348389</v>
      </c>
      <c r="AZ31" s="4">
        <v>0.29587111094456992</v>
      </c>
      <c r="BA31" s="3">
        <v>101801.76709235135</v>
      </c>
      <c r="BB31" s="17">
        <f t="shared" si="4"/>
        <v>27.666666666666668</v>
      </c>
      <c r="BC31" s="17"/>
      <c r="BD31" s="17"/>
      <c r="BE31" s="3"/>
      <c r="BF31" s="7">
        <v>1.6877637130801688</v>
      </c>
      <c r="BG31" s="30"/>
      <c r="BH31" s="30"/>
      <c r="BI31" s="30"/>
      <c r="BK31" s="17">
        <f t="shared" si="5"/>
        <v>480</v>
      </c>
      <c r="BL31" s="17">
        <f t="shared" si="6"/>
        <v>463.5</v>
      </c>
      <c r="BM31" s="17">
        <f t="shared" si="7"/>
        <v>133.19953931581642</v>
      </c>
      <c r="BN31" s="4">
        <f t="shared" si="8"/>
        <v>0.28737764685181538</v>
      </c>
      <c r="BO31" s="3">
        <f t="shared" si="0"/>
        <v>99488.090567525171</v>
      </c>
      <c r="BP31" s="7">
        <f t="shared" si="1"/>
        <v>27.666666666666668</v>
      </c>
      <c r="BQ31" s="3"/>
      <c r="BR31" s="3"/>
      <c r="BS31" s="7"/>
      <c r="BT31" s="7">
        <f t="shared" si="9"/>
        <v>1.578762306610408</v>
      </c>
      <c r="BU31" s="30"/>
      <c r="BV31" s="30"/>
      <c r="BW31" s="30"/>
      <c r="BY31" s="5" t="s">
        <v>100</v>
      </c>
      <c r="BZ31" s="5" t="s">
        <v>100</v>
      </c>
      <c r="CA31" s="5" t="s">
        <v>100</v>
      </c>
      <c r="CC31" s="21"/>
      <c r="CI31" s="5" t="s">
        <v>101</v>
      </c>
      <c r="CK31" t="s">
        <v>100</v>
      </c>
      <c r="CM31" s="5" t="s">
        <v>107</v>
      </c>
      <c r="CO31" t="s">
        <v>100</v>
      </c>
    </row>
    <row r="32" spans="1:93" x14ac:dyDescent="0.35">
      <c r="A32" s="3" t="s">
        <v>14</v>
      </c>
      <c r="B32" s="3" t="s">
        <v>70</v>
      </c>
      <c r="C32" s="3" t="s">
        <v>86</v>
      </c>
      <c r="D32" s="27" t="s">
        <v>118</v>
      </c>
      <c r="E32" s="3" t="s">
        <v>2</v>
      </c>
      <c r="F32" s="5"/>
      <c r="G32" s="14">
        <v>62.730000000000004</v>
      </c>
      <c r="H32" s="17">
        <v>83.07</v>
      </c>
      <c r="I32" s="3">
        <v>45.251880147597902</v>
      </c>
      <c r="J32" s="4">
        <f t="shared" si="2"/>
        <v>0.54474395266158548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31"/>
      <c r="R32" s="31"/>
      <c r="S32" s="31"/>
      <c r="T32" s="15"/>
      <c r="U32" s="7">
        <v>63.39</v>
      </c>
      <c r="V32" s="7">
        <v>63.39</v>
      </c>
      <c r="W32" s="3">
        <v>21.790068162357699</v>
      </c>
      <c r="X32" s="4">
        <f t="shared" si="3"/>
        <v>0.34374614548600252</v>
      </c>
      <c r="Y32" s="3">
        <v>96744.027529400701</v>
      </c>
      <c r="Z32" s="17">
        <v>14.333333333333334</v>
      </c>
      <c r="AA32" s="17"/>
      <c r="AB32" s="17"/>
      <c r="AC32" s="3"/>
      <c r="AD32" s="7">
        <v>1.6253846153846154</v>
      </c>
      <c r="AE32" s="30"/>
      <c r="AF32" s="30"/>
      <c r="AG32" s="30"/>
      <c r="AI32" s="3">
        <v>59.099999999999994</v>
      </c>
      <c r="AJ32" s="3">
        <v>59.099999999999994</v>
      </c>
      <c r="AK32" s="3">
        <v>17.500068162357692</v>
      </c>
      <c r="AL32" s="4">
        <v>0.29610944437153458</v>
      </c>
      <c r="AM32" s="3">
        <v>96744.027529400701</v>
      </c>
      <c r="AN32" s="17">
        <v>14.333333333333334</v>
      </c>
      <c r="AO32" s="17"/>
      <c r="AP32" s="17"/>
      <c r="AQ32" s="3"/>
      <c r="AR32" s="7">
        <v>1.5153846153846153</v>
      </c>
      <c r="AS32" s="30"/>
      <c r="AT32" s="30"/>
      <c r="AU32" s="30"/>
      <c r="AW32" s="17">
        <v>60.75</v>
      </c>
      <c r="AX32" s="17">
        <v>60.75</v>
      </c>
      <c r="AY32" s="17">
        <v>19.150068162357698</v>
      </c>
      <c r="AZ32" s="4">
        <v>0.31522745946267816</v>
      </c>
      <c r="BA32" s="3">
        <v>96744.027529400701</v>
      </c>
      <c r="BB32" s="17">
        <f t="shared" si="4"/>
        <v>14.333333333333334</v>
      </c>
      <c r="BC32" s="17"/>
      <c r="BD32" s="17"/>
      <c r="BE32" s="3"/>
      <c r="BF32" s="7">
        <v>1.5576923076923077</v>
      </c>
      <c r="BG32" s="30"/>
      <c r="BH32" s="30"/>
      <c r="BI32" s="30"/>
      <c r="BK32" s="17">
        <f t="shared" si="5"/>
        <v>245.97000000000003</v>
      </c>
      <c r="BL32" s="17">
        <f t="shared" si="6"/>
        <v>266.31</v>
      </c>
      <c r="BM32" s="17">
        <f t="shared" si="7"/>
        <v>103.69208463467099</v>
      </c>
      <c r="BN32" s="4">
        <f t="shared" si="8"/>
        <v>0.38936609453145204</v>
      </c>
      <c r="BO32" s="3">
        <f t="shared" si="0"/>
        <v>94545.29963100524</v>
      </c>
      <c r="BP32" s="7">
        <f t="shared" si="1"/>
        <v>14.333333333333334</v>
      </c>
      <c r="BQ32" s="3"/>
      <c r="BR32" s="3"/>
      <c r="BS32" s="7"/>
      <c r="BT32" s="7">
        <f t="shared" si="9"/>
        <v>1.7021794871794871</v>
      </c>
      <c r="BU32" s="30"/>
      <c r="BV32" s="30"/>
      <c r="BW32" s="30"/>
      <c r="BY32" s="5" t="s">
        <v>100</v>
      </c>
      <c r="BZ32" s="5" t="s">
        <v>100</v>
      </c>
      <c r="CA32" s="5" t="s">
        <v>100</v>
      </c>
      <c r="CC32" s="21">
        <v>16.75</v>
      </c>
      <c r="CI32" s="5" t="s">
        <v>101</v>
      </c>
      <c r="CK32" t="s">
        <v>101</v>
      </c>
      <c r="CM32" s="5" t="s">
        <v>114</v>
      </c>
      <c r="CO32" t="s">
        <v>101</v>
      </c>
    </row>
    <row r="33" spans="1:93" x14ac:dyDescent="0.35">
      <c r="A33" s="3" t="s">
        <v>15</v>
      </c>
      <c r="B33" s="3" t="s">
        <v>70</v>
      </c>
      <c r="C33" s="3" t="s">
        <v>86</v>
      </c>
      <c r="D33" s="25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31"/>
      <c r="R33" s="31"/>
      <c r="S33" s="31"/>
      <c r="T33" s="15"/>
      <c r="U33" s="7">
        <v>3.5</v>
      </c>
      <c r="V33" s="7">
        <v>3.5</v>
      </c>
      <c r="W33" s="3">
        <v>-0.53394489710971449</v>
      </c>
      <c r="X33" s="4">
        <f t="shared" si="3"/>
        <v>-0.15255568488848986</v>
      </c>
      <c r="Y33" s="3">
        <v>134464.82990365717</v>
      </c>
      <c r="Z33" s="17">
        <v>1</v>
      </c>
      <c r="AA33" s="17"/>
      <c r="AB33" s="17"/>
      <c r="AC33" s="3"/>
      <c r="AD33" s="7">
        <v>1.1666666666666667</v>
      </c>
      <c r="AE33" s="30"/>
      <c r="AF33" s="30"/>
      <c r="AG33" s="30"/>
      <c r="AI33" s="3">
        <v>3.5</v>
      </c>
      <c r="AJ33" s="3">
        <v>3.5</v>
      </c>
      <c r="AK33" s="3">
        <v>-0.53394489710971449</v>
      </c>
      <c r="AL33" s="4">
        <v>-0.15255568488848986</v>
      </c>
      <c r="AM33" s="3">
        <v>134464.82990365717</v>
      </c>
      <c r="AN33" s="17">
        <v>1</v>
      </c>
      <c r="AO33" s="17"/>
      <c r="AP33" s="17"/>
      <c r="AQ33" s="3"/>
      <c r="AR33" s="7">
        <v>1.1666666666666667</v>
      </c>
      <c r="AS33" s="30"/>
      <c r="AT33" s="30"/>
      <c r="AU33" s="30"/>
      <c r="AW33" s="17">
        <v>3</v>
      </c>
      <c r="AX33" s="17">
        <v>3</v>
      </c>
      <c r="AY33" s="17">
        <v>-1.0339448971097145</v>
      </c>
      <c r="AZ33" s="4">
        <v>-0.34464829903657151</v>
      </c>
      <c r="BA33" s="3">
        <v>134464.82990365717</v>
      </c>
      <c r="BB33" s="17">
        <f t="shared" si="4"/>
        <v>1</v>
      </c>
      <c r="BC33" s="17"/>
      <c r="BD33" s="17"/>
      <c r="BE33" s="3"/>
      <c r="BF33" s="7">
        <v>1</v>
      </c>
      <c r="BG33" s="30"/>
      <c r="BH33" s="30"/>
      <c r="BI33" s="30"/>
      <c r="BK33" s="17">
        <f t="shared" si="5"/>
        <v>13.5</v>
      </c>
      <c r="BL33" s="17">
        <f t="shared" si="6"/>
        <v>10</v>
      </c>
      <c r="BM33" s="17">
        <f t="shared" si="7"/>
        <v>-5.7690573250652477</v>
      </c>
      <c r="BN33" s="4">
        <f t="shared" si="8"/>
        <v>-0.57690573250652477</v>
      </c>
      <c r="BO33" s="3">
        <f t="shared" si="0"/>
        <v>131408.81104221041</v>
      </c>
      <c r="BP33" s="7">
        <f t="shared" si="1"/>
        <v>1</v>
      </c>
      <c r="BQ33" s="3"/>
      <c r="BR33" s="3"/>
      <c r="BS33" s="7"/>
      <c r="BT33" s="7">
        <f t="shared" si="9"/>
        <v>0.83333333333333337</v>
      </c>
      <c r="BU33" s="30"/>
      <c r="BV33" s="30"/>
      <c r="BW33" s="30"/>
      <c r="BY33" s="5" t="s">
        <v>100</v>
      </c>
      <c r="BZ33" s="5" t="s">
        <v>100</v>
      </c>
      <c r="CA33" s="5" t="s">
        <v>100</v>
      </c>
      <c r="CC33" s="21"/>
      <c r="CG33">
        <f>417121/100000</f>
        <v>4.1712100000000003</v>
      </c>
      <c r="CI33" s="5" t="s">
        <v>101</v>
      </c>
      <c r="CK33" t="s">
        <v>101</v>
      </c>
      <c r="CM33" s="5"/>
      <c r="CO33" t="s">
        <v>101</v>
      </c>
    </row>
    <row r="34" spans="1:93" x14ac:dyDescent="0.35">
      <c r="A34" s="3" t="s">
        <v>16</v>
      </c>
      <c r="B34" s="3" t="s">
        <v>70</v>
      </c>
      <c r="C34" s="3" t="s">
        <v>86</v>
      </c>
      <c r="D34" s="25" t="s">
        <v>118</v>
      </c>
      <c r="E34" s="3" t="s">
        <v>2</v>
      </c>
      <c r="F34" s="5"/>
      <c r="G34" s="14">
        <v>0</v>
      </c>
      <c r="H34" s="17">
        <v>3.22</v>
      </c>
      <c r="I34" s="3">
        <v>3.22</v>
      </c>
      <c r="J34" s="4">
        <f t="shared" si="2"/>
        <v>1</v>
      </c>
      <c r="K34" s="3">
        <v>0</v>
      </c>
      <c r="L34" s="17">
        <v>0</v>
      </c>
      <c r="M34" s="17"/>
      <c r="N34" s="6"/>
      <c r="O34" s="3"/>
      <c r="P34" s="7">
        <v>0</v>
      </c>
      <c r="Q34" s="31"/>
      <c r="R34" s="31"/>
      <c r="S34" s="31"/>
      <c r="T34" s="15"/>
      <c r="U34" s="7">
        <v>0</v>
      </c>
      <c r="V34" s="7">
        <v>0</v>
      </c>
      <c r="W34" s="3">
        <v>0</v>
      </c>
      <c r="X34" s="4">
        <f t="shared" si="3"/>
        <v>0</v>
      </c>
      <c r="Y34" s="3">
        <v>0</v>
      </c>
      <c r="Z34" s="17">
        <v>0</v>
      </c>
      <c r="AA34" s="17"/>
      <c r="AB34" s="17"/>
      <c r="AC34" s="3"/>
      <c r="AD34" s="7">
        <v>0</v>
      </c>
      <c r="AE34" s="30"/>
      <c r="AF34" s="30"/>
      <c r="AG34" s="30"/>
      <c r="AI34" s="3">
        <v>0</v>
      </c>
      <c r="AJ34" s="3">
        <v>0</v>
      </c>
      <c r="AK34" s="3">
        <v>0</v>
      </c>
      <c r="AL34" s="4">
        <v>0</v>
      </c>
      <c r="AM34" s="3">
        <v>0</v>
      </c>
      <c r="AN34" s="17">
        <v>0</v>
      </c>
      <c r="AO34" s="17"/>
      <c r="AP34" s="17"/>
      <c r="AQ34" s="3"/>
      <c r="AR34" s="7">
        <v>0</v>
      </c>
      <c r="AS34" s="30"/>
      <c r="AT34" s="30"/>
      <c r="AU34" s="30"/>
      <c r="AW34" s="17">
        <v>0</v>
      </c>
      <c r="AX34" s="17">
        <v>0</v>
      </c>
      <c r="AY34" s="17">
        <v>0</v>
      </c>
      <c r="AZ34" s="4">
        <v>0</v>
      </c>
      <c r="BA34" s="3">
        <v>0</v>
      </c>
      <c r="BB34" s="17">
        <f t="shared" si="4"/>
        <v>0</v>
      </c>
      <c r="BC34" s="17"/>
      <c r="BD34" s="17"/>
      <c r="BE34" s="3"/>
      <c r="BF34" s="7">
        <v>0</v>
      </c>
      <c r="BG34" s="30"/>
      <c r="BH34" s="30"/>
      <c r="BI34" s="30"/>
      <c r="BK34" s="17">
        <f t="shared" si="5"/>
        <v>0</v>
      </c>
      <c r="BL34" s="17">
        <f t="shared" si="6"/>
        <v>3.22</v>
      </c>
      <c r="BM34" s="17">
        <f t="shared" si="7"/>
        <v>3.22</v>
      </c>
      <c r="BN34" s="4">
        <f t="shared" si="8"/>
        <v>1</v>
      </c>
      <c r="BO34" s="3">
        <f t="shared" si="0"/>
        <v>0</v>
      </c>
      <c r="BP34" s="7">
        <f t="shared" si="1"/>
        <v>0</v>
      </c>
      <c r="BQ34" s="3"/>
      <c r="BR34" s="3"/>
      <c r="BS34" s="7"/>
      <c r="BT34" s="7">
        <f t="shared" si="9"/>
        <v>0</v>
      </c>
      <c r="BU34" s="30"/>
      <c r="BV34" s="30"/>
      <c r="BW34" s="30"/>
      <c r="BY34" s="5" t="s">
        <v>100</v>
      </c>
      <c r="BZ34" s="5" t="s">
        <v>100</v>
      </c>
      <c r="CA34" s="5" t="s">
        <v>100</v>
      </c>
      <c r="CC34" s="21"/>
      <c r="CI34" s="5" t="s">
        <v>101</v>
      </c>
      <c r="CK34" t="s">
        <v>101</v>
      </c>
      <c r="CM34" s="5"/>
      <c r="CO34" t="s">
        <v>101</v>
      </c>
    </row>
    <row r="35" spans="1:93" x14ac:dyDescent="0.35">
      <c r="A35" s="3" t="s">
        <v>49</v>
      </c>
      <c r="B35" s="3" t="s">
        <v>70</v>
      </c>
      <c r="C35" s="3" t="s">
        <v>86</v>
      </c>
      <c r="D35" s="25" t="s">
        <v>118</v>
      </c>
      <c r="E35" s="3" t="s">
        <v>2</v>
      </c>
      <c r="F35" s="5"/>
      <c r="G35" s="14">
        <v>8.6</v>
      </c>
      <c r="H35" s="17">
        <v>8.59</v>
      </c>
      <c r="I35" s="3">
        <v>1.9259072126352867</v>
      </c>
      <c r="J35" s="4">
        <f t="shared" si="2"/>
        <v>0.22420340077244316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31"/>
      <c r="R35" s="31"/>
      <c r="S35" s="31"/>
      <c r="T35" s="15"/>
      <c r="U35" s="7">
        <v>9.1</v>
      </c>
      <c r="V35" s="7">
        <v>9.1</v>
      </c>
      <c r="W35" s="3">
        <v>1.7694979338988146</v>
      </c>
      <c r="X35" s="4">
        <f t="shared" si="3"/>
        <v>0.19445032240646315</v>
      </c>
      <c r="Y35" s="3">
        <v>104721.45808715979</v>
      </c>
      <c r="Z35" s="17">
        <v>2.3333333333333335</v>
      </c>
      <c r="AA35" s="17"/>
      <c r="AB35" s="17"/>
      <c r="AC35" s="3"/>
      <c r="AD35" s="7">
        <v>1.4444444444444442</v>
      </c>
      <c r="AE35" s="30"/>
      <c r="AF35" s="30"/>
      <c r="AG35" s="30"/>
      <c r="AI35" s="3">
        <v>11</v>
      </c>
      <c r="AJ35" s="3">
        <v>11</v>
      </c>
      <c r="AK35" s="3">
        <v>3.669497933898815</v>
      </c>
      <c r="AL35" s="4">
        <v>0.33359072126352862</v>
      </c>
      <c r="AM35" s="3">
        <v>104721.45808715979</v>
      </c>
      <c r="AN35" s="17">
        <v>2.3333333333333335</v>
      </c>
      <c r="AO35" s="17"/>
      <c r="AP35" s="17"/>
      <c r="AQ35" s="3"/>
      <c r="AR35" s="7">
        <v>1.7460317460317458</v>
      </c>
      <c r="AS35" s="30"/>
      <c r="AT35" s="30"/>
      <c r="AU35" s="30"/>
      <c r="AW35" s="17">
        <v>12.399999999999999</v>
      </c>
      <c r="AX35" s="17">
        <v>12.399999999999999</v>
      </c>
      <c r="AY35" s="17">
        <v>5.0694979338988135</v>
      </c>
      <c r="AZ35" s="4">
        <v>0.40883047854022697</v>
      </c>
      <c r="BA35" s="3">
        <v>104721.45808715979</v>
      </c>
      <c r="BB35" s="17">
        <f t="shared" si="4"/>
        <v>2.3333333333333335</v>
      </c>
      <c r="BC35" s="17"/>
      <c r="BD35" s="17"/>
      <c r="BE35" s="3"/>
      <c r="BF35" s="7">
        <v>1.9682539682539677</v>
      </c>
      <c r="BG35" s="30"/>
      <c r="BH35" s="30"/>
      <c r="BI35" s="30"/>
      <c r="BK35" s="17">
        <f t="shared" si="5"/>
        <v>41.1</v>
      </c>
      <c r="BL35" s="17">
        <f t="shared" si="6"/>
        <v>41.09</v>
      </c>
      <c r="BM35" s="17">
        <f t="shared" si="7"/>
        <v>12.43440101433173</v>
      </c>
      <c r="BN35" s="4">
        <f t="shared" si="8"/>
        <v>0.30261379932664223</v>
      </c>
      <c r="BO35" s="3">
        <f t="shared" ref="BO35:BO62" si="10">AVERAGE(K35,Y35,AM35,BA35)</f>
        <v>102341.42494881524</v>
      </c>
      <c r="BP35" s="7">
        <f t="shared" ref="BP35:BP59" si="11">AVERAGE(L35,Z35,AN35,BB35)</f>
        <v>2.3333333333333335</v>
      </c>
      <c r="BQ35" s="3"/>
      <c r="BR35" s="3"/>
      <c r="BS35" s="7"/>
      <c r="BT35" s="7">
        <f t="shared" si="9"/>
        <v>1.5940476190476187</v>
      </c>
      <c r="BU35" s="30"/>
      <c r="BV35" s="30"/>
      <c r="BW35" s="30"/>
      <c r="BY35" s="5" t="s">
        <v>100</v>
      </c>
      <c r="BZ35" s="5" t="s">
        <v>100</v>
      </c>
      <c r="CA35" s="5" t="s">
        <v>100</v>
      </c>
      <c r="CC35" s="21"/>
      <c r="CI35" s="5" t="s">
        <v>101</v>
      </c>
      <c r="CK35" t="s">
        <v>100</v>
      </c>
      <c r="CM35" s="5" t="s">
        <v>107</v>
      </c>
      <c r="CO35" t="s">
        <v>101</v>
      </c>
    </row>
    <row r="36" spans="1:93" x14ac:dyDescent="0.35">
      <c r="A36" s="3" t="s">
        <v>17</v>
      </c>
      <c r="B36" s="3" t="s">
        <v>70</v>
      </c>
      <c r="C36" s="3" t="s">
        <v>86</v>
      </c>
      <c r="D36" s="25" t="s">
        <v>118</v>
      </c>
      <c r="E36" s="3" t="s">
        <v>2</v>
      </c>
      <c r="F36" s="5"/>
      <c r="G36" s="14">
        <v>23.61</v>
      </c>
      <c r="H36" s="17">
        <v>11.866775000000001</v>
      </c>
      <c r="I36" s="3">
        <v>-1.3090076277194189</v>
      </c>
      <c r="J36" s="4">
        <f t="shared" si="2"/>
        <v>-0.11030862451840696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31"/>
      <c r="R36" s="31"/>
      <c r="S36" s="31"/>
      <c r="T36" s="15"/>
      <c r="U36" s="7">
        <v>24.713999999999999</v>
      </c>
      <c r="V36" s="7">
        <v>24.713999999999999</v>
      </c>
      <c r="W36" s="3">
        <v>10.220639109508635</v>
      </c>
      <c r="X36" s="4">
        <f t="shared" si="3"/>
        <v>0.41355665248477119</v>
      </c>
      <c r="Y36" s="3">
        <v>90583.505565571017</v>
      </c>
      <c r="Z36" s="17">
        <v>5.333333333333333</v>
      </c>
      <c r="AA36" s="17"/>
      <c r="AB36" s="17"/>
      <c r="AC36" s="3"/>
      <c r="AD36" s="7">
        <v>2.0594999999999999</v>
      </c>
      <c r="AE36" s="30"/>
      <c r="AF36" s="30"/>
      <c r="AG36" s="30"/>
      <c r="AI36" s="3">
        <v>25.78</v>
      </c>
      <c r="AJ36" s="3">
        <v>25.78</v>
      </c>
      <c r="AK36" s="3">
        <v>11.286639109508638</v>
      </c>
      <c r="AL36" s="4">
        <v>0.43780601666053676</v>
      </c>
      <c r="AM36" s="3">
        <v>90583.505565571017</v>
      </c>
      <c r="AN36" s="17">
        <v>5.333333333333333</v>
      </c>
      <c r="AO36" s="17"/>
      <c r="AP36" s="17"/>
      <c r="AQ36" s="3"/>
      <c r="AR36" s="7">
        <v>2.1483333333333334</v>
      </c>
      <c r="AS36" s="30"/>
      <c r="AT36" s="30"/>
      <c r="AU36" s="30"/>
      <c r="AW36" s="17">
        <v>26.215</v>
      </c>
      <c r="AX36" s="17">
        <v>26.215</v>
      </c>
      <c r="AY36" s="17">
        <v>11.721639109508637</v>
      </c>
      <c r="AZ36" s="4">
        <v>0.44713481249317705</v>
      </c>
      <c r="BA36" s="3">
        <v>90583.505565571017</v>
      </c>
      <c r="BB36" s="17">
        <f t="shared" si="4"/>
        <v>5.333333333333333</v>
      </c>
      <c r="BC36" s="17"/>
      <c r="BD36" s="17"/>
      <c r="BE36" s="3"/>
      <c r="BF36" s="7">
        <v>2.1845833333333333</v>
      </c>
      <c r="BG36" s="30"/>
      <c r="BH36" s="30"/>
      <c r="BI36" s="30"/>
      <c r="BK36" s="17">
        <f t="shared" si="5"/>
        <v>100.319</v>
      </c>
      <c r="BL36" s="17">
        <f t="shared" si="6"/>
        <v>88.575775000000007</v>
      </c>
      <c r="BM36" s="17">
        <f t="shared" si="7"/>
        <v>31.919909700806492</v>
      </c>
      <c r="BN36" s="4">
        <f t="shared" si="8"/>
        <v>0.36036839306013962</v>
      </c>
      <c r="BO36" s="3">
        <f t="shared" si="10"/>
        <v>88524.789529989852</v>
      </c>
      <c r="BP36" s="7">
        <f t="shared" si="11"/>
        <v>5.333333333333333</v>
      </c>
      <c r="BQ36" s="3"/>
      <c r="BR36" s="3"/>
      <c r="BS36" s="7"/>
      <c r="BT36" s="7">
        <f t="shared" si="9"/>
        <v>2.0078286458333334</v>
      </c>
      <c r="BU36" s="30"/>
      <c r="BV36" s="30"/>
      <c r="BW36" s="30"/>
      <c r="BY36" s="5" t="s">
        <v>100</v>
      </c>
      <c r="BZ36" s="5" t="s">
        <v>100</v>
      </c>
      <c r="CA36" s="5" t="s">
        <v>100</v>
      </c>
      <c r="CC36" s="21"/>
      <c r="CI36" s="5" t="s">
        <v>101</v>
      </c>
      <c r="CK36" t="s">
        <v>101</v>
      </c>
      <c r="CM36" s="5" t="s">
        <v>107</v>
      </c>
      <c r="CO36" t="s">
        <v>101</v>
      </c>
    </row>
    <row r="37" spans="1:93" x14ac:dyDescent="0.35">
      <c r="A37" s="3" t="s">
        <v>18</v>
      </c>
      <c r="B37" s="3" t="s">
        <v>70</v>
      </c>
      <c r="C37" s="3" t="s">
        <v>86</v>
      </c>
      <c r="D37" s="25" t="s">
        <v>118</v>
      </c>
      <c r="E37" s="3" t="s">
        <v>2</v>
      </c>
      <c r="F37" s="5"/>
      <c r="G37" s="14">
        <v>112</v>
      </c>
      <c r="H37" s="17">
        <v>94.38</v>
      </c>
      <c r="I37" s="3">
        <v>-20.774374589761095</v>
      </c>
      <c r="J37" s="4">
        <f t="shared" si="2"/>
        <v>-0.22011416179022139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31"/>
      <c r="R37" s="31"/>
      <c r="S37" s="31"/>
      <c r="T37" s="15"/>
      <c r="U37" s="7">
        <v>99</v>
      </c>
      <c r="V37" s="7">
        <v>99</v>
      </c>
      <c r="W37" s="3">
        <v>-27.669812048737199</v>
      </c>
      <c r="X37" s="4">
        <f t="shared" si="3"/>
        <v>-0.27949305099734545</v>
      </c>
      <c r="Y37" s="3">
        <v>103827.71479404689</v>
      </c>
      <c r="Z37" s="17">
        <v>40.666666666666664</v>
      </c>
      <c r="AA37" s="17"/>
      <c r="AB37" s="17"/>
      <c r="AC37" s="3"/>
      <c r="AD37" s="7">
        <v>1.9411764705882353</v>
      </c>
      <c r="AE37" s="30"/>
      <c r="AF37" s="30"/>
      <c r="AG37" s="30"/>
      <c r="AI37" s="3">
        <v>104</v>
      </c>
      <c r="AJ37" s="3">
        <v>104</v>
      </c>
      <c r="AK37" s="3">
        <v>-22.669812048737199</v>
      </c>
      <c r="AL37" s="4">
        <v>-0.21797896200708847</v>
      </c>
      <c r="AM37" s="3">
        <v>103827.71479404689</v>
      </c>
      <c r="AN37" s="17">
        <v>40.666666666666664</v>
      </c>
      <c r="AO37" s="17"/>
      <c r="AP37" s="17"/>
      <c r="AQ37" s="3"/>
      <c r="AR37" s="7">
        <v>2.0392156862745097</v>
      </c>
      <c r="AS37" s="30"/>
      <c r="AT37" s="30"/>
      <c r="AU37" s="30"/>
      <c r="AW37" s="17">
        <v>111</v>
      </c>
      <c r="AX37" s="17">
        <v>111</v>
      </c>
      <c r="AY37" s="17">
        <v>-15.669812048737199</v>
      </c>
      <c r="AZ37" s="4">
        <v>-0.14116947791655135</v>
      </c>
      <c r="BA37" s="3">
        <v>103827.71479404689</v>
      </c>
      <c r="BB37" s="17">
        <f t="shared" si="4"/>
        <v>40.666666666666664</v>
      </c>
      <c r="BC37" s="17"/>
      <c r="BD37" s="17"/>
      <c r="BE37" s="3"/>
      <c r="BF37" s="7">
        <v>2.1764705882352939</v>
      </c>
      <c r="BG37" s="30"/>
      <c r="BH37" s="30"/>
      <c r="BI37" s="30"/>
      <c r="BK37" s="17">
        <f t="shared" si="5"/>
        <v>426</v>
      </c>
      <c r="BL37" s="17">
        <f t="shared" si="6"/>
        <v>408.38</v>
      </c>
      <c r="BM37" s="17">
        <f t="shared" si="7"/>
        <v>-86.783810735972693</v>
      </c>
      <c r="BN37" s="4">
        <f t="shared" si="8"/>
        <v>-0.21250749482338188</v>
      </c>
      <c r="BO37" s="3">
        <f t="shared" si="10"/>
        <v>101467.9940032731</v>
      </c>
      <c r="BP37" s="7">
        <f t="shared" si="11"/>
        <v>40.666666666666664</v>
      </c>
      <c r="BQ37" s="3"/>
      <c r="BR37" s="3"/>
      <c r="BS37" s="7"/>
      <c r="BT37" s="7">
        <f t="shared" si="9"/>
        <v>1.9474999999999998</v>
      </c>
      <c r="BU37" s="30"/>
      <c r="BV37" s="30"/>
      <c r="BW37" s="30"/>
      <c r="BY37" s="5" t="s">
        <v>100</v>
      </c>
      <c r="BZ37" s="5" t="s">
        <v>100</v>
      </c>
      <c r="CA37" s="5" t="s">
        <v>100</v>
      </c>
      <c r="CC37" s="21"/>
      <c r="CI37" s="5" t="s">
        <v>101</v>
      </c>
      <c r="CK37" t="s">
        <v>101</v>
      </c>
      <c r="CM37" s="5" t="s">
        <v>114</v>
      </c>
      <c r="CO37" t="s">
        <v>100</v>
      </c>
    </row>
    <row r="38" spans="1:93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54.4</v>
      </c>
      <c r="I38" s="3">
        <v>19.183197784832394</v>
      </c>
      <c r="J38" s="4">
        <f t="shared" si="2"/>
        <v>0.35263231222118374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31"/>
      <c r="R38" s="31"/>
      <c r="S38" s="31"/>
      <c r="T38" s="15"/>
      <c r="U38" s="7">
        <v>64</v>
      </c>
      <c r="V38" s="7">
        <v>60</v>
      </c>
      <c r="W38" s="3">
        <v>21.261517563315643</v>
      </c>
      <c r="X38" s="4">
        <f t="shared" si="3"/>
        <v>0.35435862605526069</v>
      </c>
      <c r="Y38" s="3">
        <v>110681.37839052675</v>
      </c>
      <c r="Z38" s="17">
        <v>11.666666666666666</v>
      </c>
      <c r="AA38" s="17"/>
      <c r="AB38" s="17"/>
      <c r="AC38" s="3"/>
      <c r="AD38" s="7">
        <v>3.0476190476190474</v>
      </c>
      <c r="AE38" s="30"/>
      <c r="AF38" s="30"/>
      <c r="AG38" s="30"/>
      <c r="AI38" s="3">
        <v>60</v>
      </c>
      <c r="AJ38" s="3">
        <v>60</v>
      </c>
      <c r="AK38" s="3">
        <v>21.261517563315643</v>
      </c>
      <c r="AL38" s="4">
        <v>0.35435862605526069</v>
      </c>
      <c r="AM38" s="3">
        <v>110681.37839052675</v>
      </c>
      <c r="AN38" s="17">
        <v>11.666666666666666</v>
      </c>
      <c r="AO38" s="17"/>
      <c r="AP38" s="17"/>
      <c r="AQ38" s="3"/>
      <c r="AR38" s="7">
        <v>2.8571428571428572</v>
      </c>
      <c r="AS38" s="30"/>
      <c r="AT38" s="30"/>
      <c r="AU38" s="30"/>
      <c r="AW38" s="17">
        <v>62</v>
      </c>
      <c r="AX38" s="17">
        <v>62</v>
      </c>
      <c r="AY38" s="17">
        <v>23.261517563315643</v>
      </c>
      <c r="AZ38" s="4">
        <v>0.37518576715025231</v>
      </c>
      <c r="BA38" s="3">
        <v>110681.37839052675</v>
      </c>
      <c r="BB38" s="17">
        <f t="shared" si="4"/>
        <v>11.666666666666666</v>
      </c>
      <c r="BC38" s="17"/>
      <c r="BD38" s="17"/>
      <c r="BE38" s="3"/>
      <c r="BF38" s="7">
        <v>2.9523809523809526</v>
      </c>
      <c r="BG38" s="30"/>
      <c r="BH38" s="30"/>
      <c r="BI38" s="30"/>
      <c r="BK38" s="17">
        <f t="shared" si="5"/>
        <v>232</v>
      </c>
      <c r="BL38" s="17">
        <f t="shared" si="6"/>
        <v>236.4</v>
      </c>
      <c r="BM38" s="17">
        <f t="shared" si="7"/>
        <v>84.967750474779336</v>
      </c>
      <c r="BN38" s="4">
        <f t="shared" si="8"/>
        <v>0.35942364837047097</v>
      </c>
      <c r="BO38" s="3">
        <f t="shared" si="10"/>
        <v>108165.89251801478</v>
      </c>
      <c r="BP38" s="7">
        <f t="shared" si="11"/>
        <v>11.666666666666666</v>
      </c>
      <c r="BQ38" s="3"/>
      <c r="BR38" s="3"/>
      <c r="BS38" s="7"/>
      <c r="BT38" s="7">
        <f t="shared" si="9"/>
        <v>2.7619047619047619</v>
      </c>
      <c r="BU38" s="30"/>
      <c r="BV38" s="30"/>
      <c r="BW38" s="30"/>
      <c r="BY38" s="5" t="s">
        <v>100</v>
      </c>
      <c r="BZ38" s="5" t="s">
        <v>100</v>
      </c>
      <c r="CA38" s="5" t="s">
        <v>100</v>
      </c>
      <c r="CC38" s="21"/>
      <c r="CI38" s="5" t="s">
        <v>101</v>
      </c>
      <c r="CK38" t="s">
        <v>101</v>
      </c>
      <c r="CM38" s="5" t="s">
        <v>115</v>
      </c>
      <c r="CO38" t="s">
        <v>101</v>
      </c>
    </row>
    <row r="39" spans="1:93" x14ac:dyDescent="0.35">
      <c r="A39" s="3" t="s">
        <v>6</v>
      </c>
      <c r="B39" s="3" t="s">
        <v>70</v>
      </c>
      <c r="C39" s="3" t="s">
        <v>86</v>
      </c>
      <c r="D39" s="25" t="s">
        <v>118</v>
      </c>
      <c r="E39" s="3" t="s">
        <v>2</v>
      </c>
      <c r="F39" s="5"/>
      <c r="G39" s="14">
        <v>15.5</v>
      </c>
      <c r="H39" s="17">
        <v>17.672502000000001</v>
      </c>
      <c r="I39" s="3">
        <v>9.259929066798664</v>
      </c>
      <c r="J39" s="4">
        <f t="shared" si="2"/>
        <v>0.52397385875518154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31"/>
      <c r="R39" s="31"/>
      <c r="S39" s="31"/>
      <c r="T39" s="15"/>
      <c r="U39" s="7">
        <v>18</v>
      </c>
      <c r="V39" s="7">
        <v>18</v>
      </c>
      <c r="W39" s="3">
        <v>8.7461697734785258</v>
      </c>
      <c r="X39" s="4">
        <f t="shared" si="3"/>
        <v>0.48589832074880701</v>
      </c>
      <c r="Y39" s="3">
        <v>102820.3358502386</v>
      </c>
      <c r="Z39" s="17">
        <v>3</v>
      </c>
      <c r="AA39" s="17"/>
      <c r="AB39" s="17"/>
      <c r="AC39" s="3"/>
      <c r="AD39" s="7">
        <v>3</v>
      </c>
      <c r="AE39" s="30"/>
      <c r="AF39" s="30"/>
      <c r="AG39" s="30"/>
      <c r="AI39" s="3">
        <v>17</v>
      </c>
      <c r="AJ39" s="3">
        <v>17</v>
      </c>
      <c r="AK39" s="3">
        <v>7.7461697734785258</v>
      </c>
      <c r="AL39" s="4">
        <v>0.45565704549873681</v>
      </c>
      <c r="AM39" s="3">
        <v>102820.3358502386</v>
      </c>
      <c r="AN39" s="17">
        <v>3</v>
      </c>
      <c r="AO39" s="17"/>
      <c r="AP39" s="17"/>
      <c r="AQ39" s="3"/>
      <c r="AR39" s="7">
        <v>2.8333333333333335</v>
      </c>
      <c r="AS39" s="30"/>
      <c r="AT39" s="30"/>
      <c r="AU39" s="30"/>
      <c r="AW39" s="17">
        <v>15</v>
      </c>
      <c r="AX39" s="17">
        <v>15</v>
      </c>
      <c r="AY39" s="17">
        <v>5.7461697734785258</v>
      </c>
      <c r="AZ39" s="4">
        <v>0.38307798489856837</v>
      </c>
      <c r="BA39" s="3">
        <v>102820.3358502386</v>
      </c>
      <c r="BB39" s="17">
        <f t="shared" si="4"/>
        <v>3</v>
      </c>
      <c r="BC39" s="17"/>
      <c r="BD39" s="17"/>
      <c r="BE39" s="3"/>
      <c r="BF39" s="7">
        <v>2.5</v>
      </c>
      <c r="BG39" s="30"/>
      <c r="BH39" s="30"/>
      <c r="BI39" s="30"/>
      <c r="BK39" s="17">
        <f t="shared" si="5"/>
        <v>65.5</v>
      </c>
      <c r="BL39" s="17">
        <f t="shared" si="6"/>
        <v>67.672502000000009</v>
      </c>
      <c r="BM39" s="17">
        <f t="shared" si="7"/>
        <v>31.498438387234238</v>
      </c>
      <c r="BN39" s="4">
        <f t="shared" si="8"/>
        <v>0.46545402425396115</v>
      </c>
      <c r="BO39" s="3">
        <f t="shared" si="10"/>
        <v>100483.51003546044</v>
      </c>
      <c r="BP39" s="7">
        <f t="shared" si="11"/>
        <v>3</v>
      </c>
      <c r="BQ39" s="3"/>
      <c r="BR39" s="3"/>
      <c r="BS39" s="7"/>
      <c r="BT39" s="7">
        <f t="shared" si="9"/>
        <v>2.7340627500000001</v>
      </c>
      <c r="BU39" s="30"/>
      <c r="BV39" s="30"/>
      <c r="BW39" s="30"/>
      <c r="BY39" s="5" t="s">
        <v>100</v>
      </c>
      <c r="BZ39" s="5" t="s">
        <v>100</v>
      </c>
      <c r="CA39" s="5" t="s">
        <v>100</v>
      </c>
      <c r="CC39" s="21"/>
      <c r="CI39" s="5" t="s">
        <v>101</v>
      </c>
      <c r="CK39" t="s">
        <v>101</v>
      </c>
      <c r="CM39" s="5" t="s">
        <v>115</v>
      </c>
      <c r="CO39" t="s">
        <v>101</v>
      </c>
    </row>
    <row r="40" spans="1:93" x14ac:dyDescent="0.35">
      <c r="A40" s="3" t="s">
        <v>51</v>
      </c>
      <c r="B40" s="3" t="s">
        <v>70</v>
      </c>
      <c r="C40" s="3" t="s">
        <v>92</v>
      </c>
      <c r="D40" s="25" t="s">
        <v>118</v>
      </c>
      <c r="E40" s="3" t="s">
        <v>95</v>
      </c>
      <c r="F40" s="5"/>
      <c r="G40" s="14">
        <v>12</v>
      </c>
      <c r="H40" s="17">
        <v>19.601610399999998</v>
      </c>
      <c r="I40" s="3">
        <v>7.2548821293751615</v>
      </c>
      <c r="J40" s="4">
        <f t="shared" si="2"/>
        <v>0.37011663742562512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31"/>
      <c r="R40" s="31"/>
      <c r="S40" s="31"/>
      <c r="T40" s="15"/>
      <c r="U40" s="7">
        <v>16</v>
      </c>
      <c r="V40" s="7">
        <v>16</v>
      </c>
      <c r="W40" s="3">
        <v>2.4185989023126808</v>
      </c>
      <c r="X40" s="4">
        <f t="shared" si="3"/>
        <v>0.15116243139454255</v>
      </c>
      <c r="Y40" s="3">
        <v>113178.34248072768</v>
      </c>
      <c r="Z40" s="17">
        <v>4</v>
      </c>
      <c r="AA40" s="17"/>
      <c r="AB40" s="17"/>
      <c r="AC40" s="3"/>
      <c r="AD40" s="7">
        <v>1.7204301075268815</v>
      </c>
      <c r="AE40" s="30"/>
      <c r="AF40" s="30"/>
      <c r="AG40" s="30"/>
      <c r="AI40" s="3">
        <v>15</v>
      </c>
      <c r="AJ40" s="3">
        <v>15</v>
      </c>
      <c r="AK40" s="3">
        <v>1.4185989023126808</v>
      </c>
      <c r="AL40" s="4">
        <v>9.4573260154178718E-2</v>
      </c>
      <c r="AM40" s="3">
        <v>113178.34248072768</v>
      </c>
      <c r="AN40" s="17">
        <v>4</v>
      </c>
      <c r="AO40" s="17"/>
      <c r="AP40" s="17"/>
      <c r="AQ40" s="3"/>
      <c r="AR40" s="7">
        <v>1.6129032258064515</v>
      </c>
      <c r="AS40" s="30"/>
      <c r="AT40" s="30"/>
      <c r="AU40" s="30"/>
      <c r="AW40" s="17">
        <v>15</v>
      </c>
      <c r="AX40" s="17">
        <v>15</v>
      </c>
      <c r="AY40" s="17">
        <v>1.4185989023126808</v>
      </c>
      <c r="AZ40" s="4">
        <v>9.4573260154178718E-2</v>
      </c>
      <c r="BA40" s="3">
        <v>113178.34248072768</v>
      </c>
      <c r="BB40" s="17">
        <f t="shared" si="4"/>
        <v>4</v>
      </c>
      <c r="BC40" s="17"/>
      <c r="BD40" s="17"/>
      <c r="BE40" s="3"/>
      <c r="BF40" s="7">
        <v>1.6129032258064515</v>
      </c>
      <c r="BG40" s="30"/>
      <c r="BH40" s="30"/>
      <c r="BI40" s="30"/>
      <c r="BK40" s="17">
        <f t="shared" si="5"/>
        <v>58</v>
      </c>
      <c r="BL40" s="17">
        <f t="shared" si="6"/>
        <v>65.601610399999998</v>
      </c>
      <c r="BM40" s="17">
        <f t="shared" si="7"/>
        <v>12.510678836313204</v>
      </c>
      <c r="BN40" s="4">
        <f t="shared" si="8"/>
        <v>0.19070688600524363</v>
      </c>
      <c r="BO40" s="3">
        <f t="shared" si="10"/>
        <v>110606.10742434752</v>
      </c>
      <c r="BP40" s="7">
        <f t="shared" si="11"/>
        <v>4</v>
      </c>
      <c r="BQ40" s="3"/>
      <c r="BR40" s="3"/>
      <c r="BS40" s="7"/>
      <c r="BT40" s="7">
        <f t="shared" si="9"/>
        <v>1.8134841505376347</v>
      </c>
      <c r="BU40" s="30"/>
      <c r="BV40" s="30"/>
      <c r="BW40" s="30"/>
      <c r="BY40" s="5" t="s">
        <v>100</v>
      </c>
      <c r="BZ40" s="5" t="s">
        <v>100</v>
      </c>
      <c r="CA40" s="5" t="s">
        <v>100</v>
      </c>
      <c r="CC40" s="21"/>
      <c r="CG40">
        <f>1677628/100000</f>
        <v>16.77628</v>
      </c>
      <c r="CI40" s="5" t="s">
        <v>101</v>
      </c>
      <c r="CK40" t="s">
        <v>100</v>
      </c>
      <c r="CM40" s="5" t="s">
        <v>116</v>
      </c>
      <c r="CO40" t="s">
        <v>101</v>
      </c>
    </row>
    <row r="41" spans="1:93" x14ac:dyDescent="0.35">
      <c r="A41" s="3" t="s">
        <v>64</v>
      </c>
      <c r="B41" s="3" t="s">
        <v>70</v>
      </c>
      <c r="C41" s="3" t="s">
        <v>93</v>
      </c>
      <c r="D41" s="26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31"/>
      <c r="R41" s="31"/>
      <c r="S41" s="31"/>
      <c r="T41" s="15"/>
      <c r="U41" s="7">
        <v>0</v>
      </c>
      <c r="V41" s="7">
        <v>0</v>
      </c>
      <c r="W41" s="3">
        <v>0</v>
      </c>
      <c r="X41" s="4">
        <f t="shared" si="3"/>
        <v>0</v>
      </c>
      <c r="Y41" s="3">
        <v>0</v>
      </c>
      <c r="Z41" s="17">
        <v>0</v>
      </c>
      <c r="AA41" s="17"/>
      <c r="AB41" s="17"/>
      <c r="AC41" s="3"/>
      <c r="AD41" s="7">
        <v>0</v>
      </c>
      <c r="AE41" s="30"/>
      <c r="AF41" s="30"/>
      <c r="AG41" s="30"/>
      <c r="AI41" s="3">
        <v>0</v>
      </c>
      <c r="AJ41" s="3">
        <v>0</v>
      </c>
      <c r="AK41" s="3">
        <v>0</v>
      </c>
      <c r="AL41" s="4">
        <v>0</v>
      </c>
      <c r="AM41" s="3">
        <v>0</v>
      </c>
      <c r="AN41" s="17">
        <v>0</v>
      </c>
      <c r="AO41" s="17"/>
      <c r="AP41" s="17"/>
      <c r="AQ41" s="3"/>
      <c r="AR41" s="7">
        <v>0</v>
      </c>
      <c r="AS41" s="30"/>
      <c r="AT41" s="30"/>
      <c r="AU41" s="30"/>
      <c r="AW41" s="17">
        <v>0</v>
      </c>
      <c r="AX41" s="17">
        <v>0</v>
      </c>
      <c r="AY41" s="17">
        <v>0</v>
      </c>
      <c r="AZ41" s="4">
        <v>0</v>
      </c>
      <c r="BA41" s="3">
        <v>0</v>
      </c>
      <c r="BB41" s="17">
        <f t="shared" si="4"/>
        <v>0</v>
      </c>
      <c r="BC41" s="17"/>
      <c r="BD41" s="17"/>
      <c r="BE41" s="3"/>
      <c r="BF41" s="7">
        <v>0</v>
      </c>
      <c r="BG41" s="30"/>
      <c r="BH41" s="30"/>
      <c r="BI41" s="30"/>
      <c r="BK41" s="17">
        <f t="shared" si="5"/>
        <v>0</v>
      </c>
      <c r="BL41" s="17">
        <f t="shared" si="6"/>
        <v>0</v>
      </c>
      <c r="BM41" s="17">
        <f t="shared" si="7"/>
        <v>0</v>
      </c>
      <c r="BN41" s="4">
        <f t="shared" si="8"/>
        <v>0</v>
      </c>
      <c r="BO41" s="3">
        <f t="shared" si="10"/>
        <v>0</v>
      </c>
      <c r="BP41" s="7">
        <f t="shared" si="11"/>
        <v>0</v>
      </c>
      <c r="BQ41" s="3"/>
      <c r="BR41" s="3"/>
      <c r="BS41" s="7"/>
      <c r="BT41" s="7">
        <f t="shared" si="9"/>
        <v>0</v>
      </c>
      <c r="BU41" s="30"/>
      <c r="BV41" s="30"/>
      <c r="BW41" s="30"/>
      <c r="BY41" s="5" t="s">
        <v>100</v>
      </c>
      <c r="BZ41" s="5" t="s">
        <v>100</v>
      </c>
      <c r="CA41" s="5" t="s">
        <v>100</v>
      </c>
      <c r="CC41" s="21"/>
      <c r="CI41" s="5" t="s">
        <v>101</v>
      </c>
      <c r="CK41" t="s">
        <v>101</v>
      </c>
      <c r="CM41" s="5"/>
      <c r="CO41" t="s">
        <v>101</v>
      </c>
    </row>
    <row r="42" spans="1:93" x14ac:dyDescent="0.35">
      <c r="A42" s="3" t="s">
        <v>52</v>
      </c>
      <c r="B42" s="3" t="s">
        <v>70</v>
      </c>
      <c r="C42" s="3" t="s">
        <v>92</v>
      </c>
      <c r="D42" s="25" t="s">
        <v>118</v>
      </c>
      <c r="E42" s="3" t="s">
        <v>95</v>
      </c>
      <c r="F42" s="5"/>
      <c r="G42" s="14">
        <v>28.5</v>
      </c>
      <c r="H42" s="17">
        <v>30.11</v>
      </c>
      <c r="I42" s="3">
        <v>13.733775311772249</v>
      </c>
      <c r="J42" s="4">
        <f t="shared" si="2"/>
        <v>0.45612007013524575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31"/>
      <c r="R42" s="31"/>
      <c r="S42" s="31"/>
      <c r="T42" s="15"/>
      <c r="U42" s="7">
        <v>28.5</v>
      </c>
      <c r="V42" s="7">
        <v>28.5</v>
      </c>
      <c r="W42" s="3">
        <v>10.486152842949476</v>
      </c>
      <c r="X42" s="4">
        <f t="shared" si="3"/>
        <v>0.36793518747191145</v>
      </c>
      <c r="Y42" s="3">
        <v>120092.31438033683</v>
      </c>
      <c r="Z42" s="17">
        <v>5</v>
      </c>
      <c r="AA42" s="17"/>
      <c r="AB42" s="17"/>
      <c r="AC42" s="3"/>
      <c r="AD42" s="7">
        <v>2.9687499999999996</v>
      </c>
      <c r="AE42" s="30"/>
      <c r="AF42" s="30"/>
      <c r="AG42" s="30"/>
      <c r="AI42" s="3">
        <v>33</v>
      </c>
      <c r="AJ42" s="3">
        <v>33</v>
      </c>
      <c r="AK42" s="3">
        <v>14.986152842949476</v>
      </c>
      <c r="AL42" s="4">
        <v>0.45412584372574172</v>
      </c>
      <c r="AM42" s="3">
        <v>120092.31438033683</v>
      </c>
      <c r="AN42" s="17">
        <v>5</v>
      </c>
      <c r="AO42" s="17"/>
      <c r="AP42" s="17"/>
      <c r="AQ42" s="3"/>
      <c r="AR42" s="7">
        <v>3.4374999999999996</v>
      </c>
      <c r="AS42" s="30"/>
      <c r="AT42" s="30"/>
      <c r="AU42" s="30"/>
      <c r="AW42" s="17">
        <v>15</v>
      </c>
      <c r="AX42" s="17">
        <v>15</v>
      </c>
      <c r="AY42" s="17">
        <v>-3.0138471570505239</v>
      </c>
      <c r="AZ42" s="4">
        <v>-0.20092314380336826</v>
      </c>
      <c r="BA42" s="3">
        <v>120092.31438033683</v>
      </c>
      <c r="BB42" s="17">
        <f t="shared" si="4"/>
        <v>5</v>
      </c>
      <c r="BC42" s="17"/>
      <c r="BD42" s="17"/>
      <c r="BE42" s="3"/>
      <c r="BF42" s="7">
        <v>1.5624999999999998</v>
      </c>
      <c r="BG42" s="30"/>
      <c r="BH42" s="30"/>
      <c r="BI42" s="30"/>
      <c r="BK42" s="17">
        <f t="shared" si="5"/>
        <v>105</v>
      </c>
      <c r="BL42" s="17">
        <f t="shared" si="6"/>
        <v>106.61</v>
      </c>
      <c r="BM42" s="17">
        <f t="shared" si="7"/>
        <v>36.192233840620673</v>
      </c>
      <c r="BN42" s="4">
        <f t="shared" si="8"/>
        <v>0.33948254235644565</v>
      </c>
      <c r="BO42" s="3">
        <f t="shared" si="10"/>
        <v>117362.94359896555</v>
      </c>
      <c r="BP42" s="7">
        <f t="shared" si="11"/>
        <v>5</v>
      </c>
      <c r="BQ42" s="3"/>
      <c r="BR42" s="3"/>
      <c r="BS42" s="7"/>
      <c r="BT42" s="7">
        <f t="shared" si="9"/>
        <v>2.7299479166666663</v>
      </c>
      <c r="BU42" s="30"/>
      <c r="BV42" s="30"/>
      <c r="BW42" s="30"/>
      <c r="BY42" s="5" t="s">
        <v>100</v>
      </c>
      <c r="BZ42" s="5" t="s">
        <v>100</v>
      </c>
      <c r="CA42" s="5" t="s">
        <v>100</v>
      </c>
      <c r="CC42" s="21"/>
      <c r="CI42" s="5" t="s">
        <v>101</v>
      </c>
      <c r="CK42" t="s">
        <v>101</v>
      </c>
      <c r="CM42" s="5" t="s">
        <v>106</v>
      </c>
      <c r="CO42" t="s">
        <v>101</v>
      </c>
    </row>
    <row r="43" spans="1:93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31"/>
      <c r="R43" s="31"/>
      <c r="S43" s="31"/>
      <c r="T43" s="15"/>
      <c r="U43" s="7">
        <v>0</v>
      </c>
      <c r="V43" s="7">
        <v>3</v>
      </c>
      <c r="W43" s="3">
        <v>3</v>
      </c>
      <c r="X43" s="4">
        <f t="shared" si="3"/>
        <v>1</v>
      </c>
      <c r="Y43" s="3">
        <v>0</v>
      </c>
      <c r="Z43" s="17">
        <v>0</v>
      </c>
      <c r="AA43" s="17"/>
      <c r="AB43" s="17"/>
      <c r="AC43" s="3"/>
      <c r="AD43" s="7">
        <v>0</v>
      </c>
      <c r="AE43" s="30"/>
      <c r="AF43" s="30"/>
      <c r="AG43" s="30"/>
      <c r="AI43" s="3">
        <v>0</v>
      </c>
      <c r="AJ43" s="3">
        <v>0</v>
      </c>
      <c r="AK43" s="3">
        <v>0</v>
      </c>
      <c r="AL43" s="4">
        <v>0</v>
      </c>
      <c r="AM43" s="3">
        <v>0</v>
      </c>
      <c r="AN43" s="17">
        <v>0</v>
      </c>
      <c r="AO43" s="17"/>
      <c r="AP43" s="17"/>
      <c r="AQ43" s="3"/>
      <c r="AR43" s="7">
        <v>0</v>
      </c>
      <c r="AS43" s="30"/>
      <c r="AT43" s="30"/>
      <c r="AU43" s="30"/>
      <c r="AW43" s="17">
        <v>0</v>
      </c>
      <c r="AX43" s="17">
        <v>0</v>
      </c>
      <c r="AY43" s="17">
        <v>0</v>
      </c>
      <c r="AZ43" s="4">
        <v>0</v>
      </c>
      <c r="BA43" s="3">
        <v>0</v>
      </c>
      <c r="BB43" s="17">
        <f t="shared" si="4"/>
        <v>0</v>
      </c>
      <c r="BC43" s="17"/>
      <c r="BD43" s="17"/>
      <c r="BE43" s="3"/>
      <c r="BF43" s="7">
        <v>0</v>
      </c>
      <c r="BG43" s="30"/>
      <c r="BH43" s="30"/>
      <c r="BI43" s="30"/>
      <c r="BK43" s="17">
        <f t="shared" si="5"/>
        <v>0</v>
      </c>
      <c r="BL43" s="17">
        <f t="shared" si="6"/>
        <v>4</v>
      </c>
      <c r="BM43" s="17">
        <f t="shared" si="7"/>
        <v>3.1</v>
      </c>
      <c r="BN43" s="4">
        <f t="shared" si="8"/>
        <v>0.77500000000000002</v>
      </c>
      <c r="BO43" s="3">
        <f t="shared" si="10"/>
        <v>22500</v>
      </c>
      <c r="BP43" s="7">
        <f t="shared" si="11"/>
        <v>8.3333333333333329E-2</v>
      </c>
      <c r="BQ43" s="3"/>
      <c r="BR43" s="3"/>
      <c r="BS43" s="7"/>
      <c r="BT43" s="7">
        <f t="shared" si="9"/>
        <v>8.3333333333333329E-2</v>
      </c>
      <c r="BU43" s="30"/>
      <c r="BV43" s="30"/>
      <c r="BW43" s="30"/>
      <c r="BY43" s="5" t="s">
        <v>100</v>
      </c>
      <c r="BZ43" s="5" t="s">
        <v>100</v>
      </c>
      <c r="CA43" s="5" t="s">
        <v>100</v>
      </c>
      <c r="CC43" s="21"/>
      <c r="CI43" s="5" t="s">
        <v>101</v>
      </c>
      <c r="CK43" t="s">
        <v>101</v>
      </c>
      <c r="CM43" s="5"/>
      <c r="CO43" t="s">
        <v>101</v>
      </c>
    </row>
    <row r="44" spans="1:93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31"/>
      <c r="R44" s="31"/>
      <c r="S44" s="31"/>
      <c r="T44" s="15"/>
      <c r="U44" s="7">
        <v>20</v>
      </c>
      <c r="V44" s="7">
        <v>20</v>
      </c>
      <c r="W44" s="3">
        <v>2.8882948695431523</v>
      </c>
      <c r="X44" s="4">
        <f t="shared" si="3"/>
        <v>0.1444147434771576</v>
      </c>
      <c r="Y44" s="3">
        <v>123997.86326418004</v>
      </c>
      <c r="Z44" s="17">
        <v>4.6000000000000005</v>
      </c>
      <c r="AA44" s="17"/>
      <c r="AB44" s="17"/>
      <c r="AC44" s="3"/>
      <c r="AD44" s="7">
        <v>2.2222222222222223</v>
      </c>
      <c r="AE44" s="30"/>
      <c r="AF44" s="30"/>
      <c r="AG44" s="30"/>
      <c r="AI44" s="3">
        <v>12</v>
      </c>
      <c r="AJ44" s="3">
        <v>12</v>
      </c>
      <c r="AK44" s="3">
        <v>-5.1117051304568477</v>
      </c>
      <c r="AL44" s="4">
        <v>-0.42597542753807066</v>
      </c>
      <c r="AM44" s="3">
        <v>123997.86326418004</v>
      </c>
      <c r="AN44" s="17">
        <v>4.6000000000000005</v>
      </c>
      <c r="AO44" s="17"/>
      <c r="AP44" s="17"/>
      <c r="AQ44" s="3"/>
      <c r="AR44" s="7">
        <v>1.3333333333333333</v>
      </c>
      <c r="AS44" s="30"/>
      <c r="AT44" s="30"/>
      <c r="AU44" s="30"/>
      <c r="AW44" s="17">
        <v>15</v>
      </c>
      <c r="AX44" s="17">
        <v>15</v>
      </c>
      <c r="AY44" s="17">
        <v>-2.1117051304568477</v>
      </c>
      <c r="AZ44" s="4">
        <v>-0.1407803420304565</v>
      </c>
      <c r="BA44" s="3">
        <v>123997.86326418004</v>
      </c>
      <c r="BB44" s="17">
        <f t="shared" si="4"/>
        <v>4.6000000000000005</v>
      </c>
      <c r="BC44" s="17"/>
      <c r="BD44" s="17"/>
      <c r="BE44" s="3"/>
      <c r="BF44" s="7">
        <v>1.6666666666666667</v>
      </c>
      <c r="BG44" s="30"/>
      <c r="BH44" s="30"/>
      <c r="BI44" s="30"/>
      <c r="BK44" s="17">
        <f t="shared" si="5"/>
        <v>67</v>
      </c>
      <c r="BL44" s="17">
        <f t="shared" si="6"/>
        <v>66.856250000000003</v>
      </c>
      <c r="BM44" s="17">
        <f t="shared" si="7"/>
        <v>-3.49609645131288E-2</v>
      </c>
      <c r="BN44" s="4">
        <f t="shared" si="8"/>
        <v>-5.2292739292330638E-4</v>
      </c>
      <c r="BO44" s="3">
        <f t="shared" si="10"/>
        <v>121179.73000817593</v>
      </c>
      <c r="BP44" s="7">
        <f t="shared" si="11"/>
        <v>4.6000000000000005</v>
      </c>
      <c r="BQ44" s="3"/>
      <c r="BR44" s="3"/>
      <c r="BS44" s="7"/>
      <c r="BT44" s="7">
        <f t="shared" si="9"/>
        <v>1.8571180555555555</v>
      </c>
      <c r="BU44" s="30"/>
      <c r="BV44" s="30"/>
      <c r="BW44" s="30"/>
      <c r="BY44" s="5" t="s">
        <v>100</v>
      </c>
      <c r="BZ44" s="5" t="s">
        <v>100</v>
      </c>
      <c r="CA44" s="5" t="s">
        <v>100</v>
      </c>
      <c r="CC44" s="21">
        <v>13.08</v>
      </c>
      <c r="CE44">
        <v>2.9</v>
      </c>
      <c r="CG44">
        <f>853288/100000</f>
        <v>8.5328800000000005</v>
      </c>
      <c r="CI44" s="5" t="s">
        <v>101</v>
      </c>
      <c r="CK44" t="s">
        <v>101</v>
      </c>
      <c r="CM44" s="5"/>
      <c r="CO44" t="s">
        <v>101</v>
      </c>
    </row>
    <row r="45" spans="1:93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31"/>
      <c r="R45" s="31"/>
      <c r="S45" s="31"/>
      <c r="T45" s="15"/>
      <c r="U45" s="7">
        <v>43.296000000000006</v>
      </c>
      <c r="V45" s="7">
        <v>30</v>
      </c>
      <c r="W45" s="3">
        <v>14.734024451322476</v>
      </c>
      <c r="X45" s="4">
        <f t="shared" si="3"/>
        <v>0.49113414837741587</v>
      </c>
      <c r="Y45" s="3">
        <v>127216.46290564603</v>
      </c>
      <c r="Z45" s="17">
        <v>4</v>
      </c>
      <c r="AA45" s="17"/>
      <c r="AB45" s="17"/>
      <c r="AC45" s="3"/>
      <c r="AD45" s="7">
        <v>4.8106666666666671</v>
      </c>
      <c r="AE45" s="30"/>
      <c r="AF45" s="30"/>
      <c r="AG45" s="30"/>
      <c r="AI45" s="3">
        <v>43.296000000000006</v>
      </c>
      <c r="AJ45" s="3">
        <v>43.296000000000006</v>
      </c>
      <c r="AK45" s="3">
        <v>28.030024451322483</v>
      </c>
      <c r="AL45" s="4">
        <v>0.64740448196883038</v>
      </c>
      <c r="AM45" s="3">
        <v>127216.46290564603</v>
      </c>
      <c r="AN45" s="17">
        <v>4</v>
      </c>
      <c r="AO45" s="17"/>
      <c r="AP45" s="17"/>
      <c r="AQ45" s="3"/>
      <c r="AR45" s="7">
        <v>4.8106666666666671</v>
      </c>
      <c r="AS45" s="30"/>
      <c r="AT45" s="30"/>
      <c r="AU45" s="30"/>
      <c r="AW45" s="17">
        <v>43.296000000000006</v>
      </c>
      <c r="AX45" s="17">
        <v>43.296000000000006</v>
      </c>
      <c r="AY45" s="17">
        <v>28.030024451322483</v>
      </c>
      <c r="AZ45" s="4">
        <v>0.64740448196883038</v>
      </c>
      <c r="BA45" s="3">
        <v>127216.46290564603</v>
      </c>
      <c r="BB45" s="17">
        <f t="shared" si="4"/>
        <v>4</v>
      </c>
      <c r="BC45" s="17"/>
      <c r="BD45" s="17"/>
      <c r="BE45" s="3"/>
      <c r="BF45" s="7">
        <v>4.8106666666666671</v>
      </c>
      <c r="BG45" s="30"/>
      <c r="BH45" s="30"/>
      <c r="BI45" s="30"/>
      <c r="BK45" s="17">
        <f t="shared" si="5"/>
        <v>163.46880000000004</v>
      </c>
      <c r="BL45" s="17">
        <f t="shared" si="6"/>
        <v>142.73480000000001</v>
      </c>
      <c r="BM45" s="17">
        <f t="shared" si="7"/>
        <v>83.058713764260602</v>
      </c>
      <c r="BN45" s="4">
        <f t="shared" si="8"/>
        <v>0.5819093435116075</v>
      </c>
      <c r="BO45" s="3">
        <f t="shared" si="10"/>
        <v>124325.17965779043</v>
      </c>
      <c r="BP45" s="7">
        <f t="shared" si="11"/>
        <v>4</v>
      </c>
      <c r="BQ45" s="3"/>
      <c r="BR45" s="3"/>
      <c r="BS45" s="7"/>
      <c r="BT45" s="7">
        <f t="shared" si="9"/>
        <v>4.3341888888888889</v>
      </c>
      <c r="BU45" s="30"/>
      <c r="BV45" s="30"/>
      <c r="BW45" s="30"/>
      <c r="BY45" s="5" t="s">
        <v>100</v>
      </c>
      <c r="BZ45" s="5" t="s">
        <v>100</v>
      </c>
      <c r="CA45" s="5" t="s">
        <v>100</v>
      </c>
      <c r="CC45" s="21">
        <v>19.7</v>
      </c>
      <c r="CE45">
        <v>7.97</v>
      </c>
      <c r="CI45" s="5" t="s">
        <v>101</v>
      </c>
      <c r="CK45" t="s">
        <v>100</v>
      </c>
      <c r="CM45" s="5"/>
      <c r="CO45" t="s">
        <v>101</v>
      </c>
    </row>
    <row r="46" spans="1:93" x14ac:dyDescent="0.35">
      <c r="A46" s="3" t="s">
        <v>56</v>
      </c>
      <c r="B46" s="3" t="s">
        <v>70</v>
      </c>
      <c r="C46" s="3" t="s">
        <v>86</v>
      </c>
      <c r="D46" s="25" t="s">
        <v>118</v>
      </c>
      <c r="E46" s="3" t="s">
        <v>2</v>
      </c>
      <c r="F46" s="5"/>
      <c r="G46" s="14">
        <v>19.099999999999998</v>
      </c>
      <c r="H46" s="17">
        <v>24.310000000000002</v>
      </c>
      <c r="I46" s="3">
        <v>10.068902406452644</v>
      </c>
      <c r="J46" s="4">
        <f t="shared" si="2"/>
        <v>0.41418767611898982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31"/>
      <c r="R46" s="31"/>
      <c r="S46" s="31"/>
      <c r="T46" s="15"/>
      <c r="U46" s="7">
        <v>20.399999999999999</v>
      </c>
      <c r="V46" s="7">
        <v>21.4</v>
      </c>
      <c r="W46" s="3">
        <v>5.7347926470979029</v>
      </c>
      <c r="X46" s="4">
        <f t="shared" si="3"/>
        <v>0.26798096481765904</v>
      </c>
      <c r="Y46" s="3">
        <v>82448.459752116294</v>
      </c>
      <c r="Z46" s="17">
        <v>6.333333333333333</v>
      </c>
      <c r="AA46" s="17"/>
      <c r="AB46" s="17"/>
      <c r="AC46" s="3"/>
      <c r="AD46" s="7">
        <v>1.3599999999999999</v>
      </c>
      <c r="AE46" s="30"/>
      <c r="AF46" s="30"/>
      <c r="AG46" s="30"/>
      <c r="AI46" s="3">
        <v>21.65</v>
      </c>
      <c r="AJ46" s="3">
        <v>21.65</v>
      </c>
      <c r="AK46" s="3">
        <v>5.9847926470979029</v>
      </c>
      <c r="AL46" s="4">
        <v>0.27643384051260522</v>
      </c>
      <c r="AM46" s="3">
        <v>82448.459752116294</v>
      </c>
      <c r="AN46" s="17">
        <v>6.333333333333333</v>
      </c>
      <c r="AO46" s="17"/>
      <c r="AP46" s="17"/>
      <c r="AQ46" s="3"/>
      <c r="AR46" s="7">
        <v>1.4433333333333331</v>
      </c>
      <c r="AS46" s="30"/>
      <c r="AT46" s="30"/>
      <c r="AU46" s="30"/>
      <c r="AW46" s="17">
        <v>20.100000000000001</v>
      </c>
      <c r="AX46" s="17">
        <v>20.100000000000001</v>
      </c>
      <c r="AY46" s="17">
        <v>4.4347926470979058</v>
      </c>
      <c r="AZ46" s="4">
        <v>0.22063645010437341</v>
      </c>
      <c r="BA46" s="3">
        <v>82448.459752116294</v>
      </c>
      <c r="BB46" s="17">
        <f t="shared" si="4"/>
        <v>6.333333333333333</v>
      </c>
      <c r="BC46" s="17"/>
      <c r="BD46" s="17"/>
      <c r="BE46" s="3"/>
      <c r="BF46" s="7">
        <v>1.34</v>
      </c>
      <c r="BG46" s="30"/>
      <c r="BH46" s="30"/>
      <c r="BI46" s="30"/>
      <c r="BK46" s="17">
        <f t="shared" si="5"/>
        <v>81.25</v>
      </c>
      <c r="BL46" s="17">
        <f t="shared" si="6"/>
        <v>87.460000000000008</v>
      </c>
      <c r="BM46" s="17">
        <f t="shared" si="7"/>
        <v>26.223280347746353</v>
      </c>
      <c r="BN46" s="4">
        <f t="shared" si="8"/>
        <v>0.29983169846497087</v>
      </c>
      <c r="BO46" s="3">
        <f t="shared" si="10"/>
        <v>80574.631121386381</v>
      </c>
      <c r="BP46" s="7">
        <f t="shared" si="11"/>
        <v>6.333333333333333</v>
      </c>
      <c r="BQ46" s="3"/>
      <c r="BR46" s="3"/>
      <c r="BS46" s="7"/>
      <c r="BT46" s="7">
        <f t="shared" si="9"/>
        <v>1.46</v>
      </c>
      <c r="BU46" s="30"/>
      <c r="BV46" s="30"/>
      <c r="BW46" s="30"/>
      <c r="BY46" s="5" t="s">
        <v>100</v>
      </c>
      <c r="BZ46" s="5" t="s">
        <v>100</v>
      </c>
      <c r="CA46" s="5" t="s">
        <v>100</v>
      </c>
      <c r="CC46" s="21"/>
      <c r="CI46" s="5" t="s">
        <v>101</v>
      </c>
      <c r="CK46" t="s">
        <v>101</v>
      </c>
      <c r="CM46" s="5" t="s">
        <v>115</v>
      </c>
      <c r="CO46" t="s">
        <v>101</v>
      </c>
    </row>
    <row r="47" spans="1:93" x14ac:dyDescent="0.35">
      <c r="A47" s="3" t="s">
        <v>57</v>
      </c>
      <c r="B47" s="3" t="s">
        <v>70</v>
      </c>
      <c r="C47" s="3" t="s">
        <v>86</v>
      </c>
      <c r="D47" s="25" t="s">
        <v>118</v>
      </c>
      <c r="E47" s="3" t="s">
        <v>2</v>
      </c>
      <c r="F47" s="5"/>
      <c r="G47" s="14">
        <v>12</v>
      </c>
      <c r="H47" s="17">
        <v>14.6951</v>
      </c>
      <c r="I47" s="3">
        <v>7.0876429183629996</v>
      </c>
      <c r="J47" s="4">
        <f t="shared" si="2"/>
        <v>0.48231335059734193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31"/>
      <c r="R47" s="31"/>
      <c r="S47" s="31"/>
      <c r="T47" s="15"/>
      <c r="U47" s="7">
        <v>12</v>
      </c>
      <c r="V47" s="7">
        <v>12</v>
      </c>
      <c r="W47" s="3">
        <v>3.6317972101992986</v>
      </c>
      <c r="X47" s="4">
        <f t="shared" si="3"/>
        <v>0.30264976751660821</v>
      </c>
      <c r="Y47" s="3">
        <v>119545.75414001002</v>
      </c>
      <c r="Z47" s="17">
        <v>2.3333333333333335</v>
      </c>
      <c r="AA47" s="17"/>
      <c r="AB47" s="17"/>
      <c r="AC47" s="3"/>
      <c r="AD47" s="7">
        <v>2</v>
      </c>
      <c r="AE47" s="30"/>
      <c r="AF47" s="30"/>
      <c r="AG47" s="30"/>
      <c r="AI47" s="3">
        <v>12</v>
      </c>
      <c r="AJ47" s="3">
        <v>12</v>
      </c>
      <c r="AK47" s="3">
        <v>3.6317972101992986</v>
      </c>
      <c r="AL47" s="4">
        <v>0.30264976751660821</v>
      </c>
      <c r="AM47" s="3">
        <v>119545.75414001002</v>
      </c>
      <c r="AN47" s="17">
        <v>2.3333333333333335</v>
      </c>
      <c r="AO47" s="17"/>
      <c r="AP47" s="17"/>
      <c r="AQ47" s="3"/>
      <c r="AR47" s="7">
        <v>2</v>
      </c>
      <c r="AS47" s="30"/>
      <c r="AT47" s="30"/>
      <c r="AU47" s="30"/>
      <c r="AW47" s="17">
        <v>12</v>
      </c>
      <c r="AX47" s="17">
        <v>12</v>
      </c>
      <c r="AY47" s="17">
        <v>3.6317972101992986</v>
      </c>
      <c r="AZ47" s="4">
        <v>0.30264976751660821</v>
      </c>
      <c r="BA47" s="3">
        <v>119545.75414001002</v>
      </c>
      <c r="BB47" s="17">
        <f t="shared" si="4"/>
        <v>2.3333333333333335</v>
      </c>
      <c r="BC47" s="17"/>
      <c r="BD47" s="17"/>
      <c r="BE47" s="3"/>
      <c r="BF47" s="7">
        <v>2</v>
      </c>
      <c r="BG47" s="30"/>
      <c r="BH47" s="30"/>
      <c r="BI47" s="30"/>
      <c r="BK47" s="17">
        <f t="shared" si="5"/>
        <v>48</v>
      </c>
      <c r="BL47" s="17">
        <f t="shared" si="6"/>
        <v>50.695099999999996</v>
      </c>
      <c r="BM47" s="17">
        <f t="shared" si="7"/>
        <v>17.983034548960894</v>
      </c>
      <c r="BN47" s="4">
        <f t="shared" si="8"/>
        <v>0.35472924501501912</v>
      </c>
      <c r="BO47" s="3">
        <f t="shared" si="10"/>
        <v>116828.80518228252</v>
      </c>
      <c r="BP47" s="7">
        <f t="shared" si="11"/>
        <v>2.3333333333333335</v>
      </c>
      <c r="BQ47" s="3"/>
      <c r="BR47" s="3"/>
      <c r="BS47" s="7"/>
      <c r="BT47" s="7">
        <f t="shared" si="9"/>
        <v>1.9281291666666667</v>
      </c>
      <c r="BU47" s="30"/>
      <c r="BV47" s="30"/>
      <c r="BW47" s="30"/>
      <c r="BY47" s="5" t="s">
        <v>100</v>
      </c>
      <c r="BZ47" s="5" t="s">
        <v>100</v>
      </c>
      <c r="CA47" s="5" t="s">
        <v>100</v>
      </c>
      <c r="CC47" s="21"/>
      <c r="CI47" s="5" t="s">
        <v>101</v>
      </c>
      <c r="CK47" t="s">
        <v>101</v>
      </c>
      <c r="CM47" s="5"/>
      <c r="CO47" t="s">
        <v>101</v>
      </c>
    </row>
    <row r="48" spans="1:93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31"/>
      <c r="R48" s="31"/>
      <c r="S48" s="31"/>
      <c r="T48" s="15"/>
      <c r="U48" s="7">
        <v>137.5</v>
      </c>
      <c r="V48" s="7">
        <v>137.5</v>
      </c>
      <c r="W48" s="3">
        <v>52.159308209567129</v>
      </c>
      <c r="X48" s="4">
        <f t="shared" si="3"/>
        <v>0.37934042334230639</v>
      </c>
      <c r="Y48" s="3">
        <v>115325.25917626065</v>
      </c>
      <c r="Z48" s="17">
        <v>24.666666666666668</v>
      </c>
      <c r="AA48" s="17"/>
      <c r="AB48" s="17"/>
      <c r="AC48" s="3"/>
      <c r="AD48" s="7">
        <v>2.4122807017543861</v>
      </c>
      <c r="AE48" s="30"/>
      <c r="AF48" s="30"/>
      <c r="AG48" s="30"/>
      <c r="AI48" s="3">
        <v>137.5</v>
      </c>
      <c r="AJ48" s="3">
        <v>137.5</v>
      </c>
      <c r="AK48" s="3">
        <v>52.159308209567129</v>
      </c>
      <c r="AL48" s="4">
        <v>0.37934042334230639</v>
      </c>
      <c r="AM48" s="3">
        <v>115325.25917626065</v>
      </c>
      <c r="AN48" s="17">
        <v>24.666666666666668</v>
      </c>
      <c r="AO48" s="17"/>
      <c r="AP48" s="17"/>
      <c r="AQ48" s="3"/>
      <c r="AR48" s="7">
        <v>2.4122807017543861</v>
      </c>
      <c r="AS48" s="30"/>
      <c r="AT48" s="30"/>
      <c r="AU48" s="30"/>
      <c r="AW48" s="17">
        <v>137.5</v>
      </c>
      <c r="AX48" s="17">
        <v>137.5</v>
      </c>
      <c r="AY48" s="17">
        <v>52.159308209567129</v>
      </c>
      <c r="AZ48" s="4">
        <v>0.37934042334230639</v>
      </c>
      <c r="BA48" s="3">
        <v>115325.25917626065</v>
      </c>
      <c r="BB48" s="17">
        <f t="shared" si="4"/>
        <v>24.666666666666668</v>
      </c>
      <c r="BC48" s="17"/>
      <c r="BD48" s="17"/>
      <c r="BE48" s="3"/>
      <c r="BF48" s="7">
        <v>2.4122807017543861</v>
      </c>
      <c r="BG48" s="30"/>
      <c r="BH48" s="30"/>
      <c r="BI48" s="30"/>
      <c r="BK48" s="17">
        <f t="shared" si="5"/>
        <v>550</v>
      </c>
      <c r="BL48" s="17">
        <f t="shared" si="6"/>
        <v>569.5</v>
      </c>
      <c r="BM48" s="17">
        <f t="shared" si="7"/>
        <v>235.89547754648967</v>
      </c>
      <c r="BN48" s="4">
        <f t="shared" si="8"/>
        <v>0.41421506153905124</v>
      </c>
      <c r="BO48" s="3">
        <f t="shared" si="10"/>
        <v>112704.23055861835</v>
      </c>
      <c r="BP48" s="7">
        <f t="shared" si="11"/>
        <v>24.666666666666668</v>
      </c>
      <c r="BQ48" s="3"/>
      <c r="BR48" s="3"/>
      <c r="BS48" s="7"/>
      <c r="BT48" s="7">
        <f t="shared" si="9"/>
        <v>2.4978070175438596</v>
      </c>
      <c r="BU48" s="30"/>
      <c r="BV48" s="30"/>
      <c r="BW48" s="30"/>
      <c r="BY48" s="5" t="s">
        <v>100</v>
      </c>
      <c r="BZ48" s="5" t="s">
        <v>100</v>
      </c>
      <c r="CA48" s="5" t="s">
        <v>100</v>
      </c>
      <c r="CC48" s="21">
        <v>4.22</v>
      </c>
      <c r="CE48">
        <v>50</v>
      </c>
      <c r="CG48">
        <f>1218061/100000</f>
        <v>12.18061</v>
      </c>
      <c r="CI48" s="5" t="s">
        <v>101</v>
      </c>
      <c r="CK48" t="s">
        <v>101</v>
      </c>
      <c r="CM48" s="5"/>
      <c r="CO48" t="s">
        <v>100</v>
      </c>
    </row>
    <row r="49" spans="1:93" x14ac:dyDescent="0.35">
      <c r="A49" s="3" t="s">
        <v>59</v>
      </c>
      <c r="B49" s="3" t="s">
        <v>70</v>
      </c>
      <c r="C49" s="3" t="s">
        <v>86</v>
      </c>
      <c r="D49" s="25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31"/>
      <c r="R49" s="31"/>
      <c r="S49" s="31"/>
      <c r="T49" s="15"/>
      <c r="U49" s="7">
        <v>115.69</v>
      </c>
      <c r="V49" s="7">
        <v>115.69</v>
      </c>
      <c r="W49" s="3">
        <v>52.362999999999985</v>
      </c>
      <c r="X49" s="4">
        <f t="shared" si="3"/>
        <v>0.45261474630477988</v>
      </c>
      <c r="Y49" s="3">
        <v>111100.00000000001</v>
      </c>
      <c r="Z49" s="17">
        <v>19</v>
      </c>
      <c r="AA49" s="17"/>
      <c r="AB49" s="17"/>
      <c r="AC49" s="3"/>
      <c r="AD49" s="7">
        <v>2.4102083333333333</v>
      </c>
      <c r="AE49" s="30"/>
      <c r="AF49" s="30"/>
      <c r="AG49" s="30"/>
      <c r="AI49" s="3">
        <v>122.78999999999999</v>
      </c>
      <c r="AJ49" s="3">
        <v>122.78999999999999</v>
      </c>
      <c r="AK49" s="3">
        <v>59.46299999999998</v>
      </c>
      <c r="AL49" s="4">
        <v>0.48426581969215721</v>
      </c>
      <c r="AM49" s="3">
        <v>111100.00000000001</v>
      </c>
      <c r="AN49" s="17">
        <v>19</v>
      </c>
      <c r="AO49" s="17"/>
      <c r="AP49" s="17"/>
      <c r="AQ49" s="3"/>
      <c r="AR49" s="7">
        <v>2.558125</v>
      </c>
      <c r="AS49" s="30"/>
      <c r="AT49" s="30"/>
      <c r="AU49" s="30"/>
      <c r="AW49" s="17">
        <v>122.78999999999999</v>
      </c>
      <c r="AX49" s="17">
        <v>122.78999999999999</v>
      </c>
      <c r="AY49" s="17">
        <v>59.46299999999998</v>
      </c>
      <c r="AZ49" s="4">
        <v>0.48426581969215721</v>
      </c>
      <c r="BA49" s="3">
        <v>111100.00000000001</v>
      </c>
      <c r="BB49" s="17">
        <f t="shared" si="4"/>
        <v>19</v>
      </c>
      <c r="BC49" s="17"/>
      <c r="BD49" s="17"/>
      <c r="BE49" s="3"/>
      <c r="BF49" s="7">
        <v>2.558125</v>
      </c>
      <c r="BG49" s="30"/>
      <c r="BH49" s="30"/>
      <c r="BI49" s="30"/>
      <c r="BK49" s="17">
        <f t="shared" si="5"/>
        <v>442.9</v>
      </c>
      <c r="BL49" s="17">
        <f t="shared" si="6"/>
        <v>433.27</v>
      </c>
      <c r="BM49" s="17">
        <f t="shared" si="7"/>
        <v>185.71899999999994</v>
      </c>
      <c r="BN49" s="4">
        <f t="shared" si="8"/>
        <v>0.42864495580123235</v>
      </c>
      <c r="BO49" s="3">
        <f t="shared" si="10"/>
        <v>108575</v>
      </c>
      <c r="BP49" s="7">
        <f t="shared" si="11"/>
        <v>19</v>
      </c>
      <c r="BQ49" s="3"/>
      <c r="BR49" s="3"/>
      <c r="BS49" s="7"/>
      <c r="BT49" s="7">
        <f t="shared" si="9"/>
        <v>2.2566145833333335</v>
      </c>
      <c r="BU49" s="30"/>
      <c r="BV49" s="30"/>
      <c r="BW49" s="30"/>
      <c r="BY49" s="5" t="s">
        <v>100</v>
      </c>
      <c r="BZ49" s="5" t="s">
        <v>100</v>
      </c>
      <c r="CA49" s="5" t="s">
        <v>100</v>
      </c>
      <c r="CC49" s="21"/>
      <c r="CE49">
        <v>17</v>
      </c>
      <c r="CG49">
        <f>265500/100000</f>
        <v>2.6549999999999998</v>
      </c>
      <c r="CI49" s="5" t="s">
        <v>101</v>
      </c>
      <c r="CK49" t="s">
        <v>101</v>
      </c>
      <c r="CM49" s="5"/>
      <c r="CO49" t="s">
        <v>100</v>
      </c>
    </row>
    <row r="50" spans="1:93" x14ac:dyDescent="0.35">
      <c r="A50" s="3" t="s">
        <v>85</v>
      </c>
      <c r="B50" s="3" t="s">
        <v>70</v>
      </c>
      <c r="C50" s="3" t="s">
        <v>92</v>
      </c>
      <c r="D50" s="25" t="s">
        <v>119</v>
      </c>
      <c r="E50" s="3" t="s">
        <v>95</v>
      </c>
      <c r="F50" s="5"/>
      <c r="G50" s="14">
        <v>21.75</v>
      </c>
      <c r="H50" s="17">
        <v>22.341290000000001</v>
      </c>
      <c r="I50" s="3">
        <v>18.301290000000002</v>
      </c>
      <c r="J50" s="4">
        <f t="shared" si="2"/>
        <v>0.81916890206429449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31"/>
      <c r="R50" s="31"/>
      <c r="S50" s="31"/>
      <c r="T50" s="15"/>
      <c r="U50" s="7">
        <v>24.900000000000002</v>
      </c>
      <c r="V50" s="3">
        <f>U50</f>
        <v>24.900000000000002</v>
      </c>
      <c r="W50" s="3">
        <v>20.456000000000003</v>
      </c>
      <c r="X50" s="4">
        <f t="shared" si="3"/>
        <v>0.82152610441767071</v>
      </c>
      <c r="Y50" s="3">
        <v>111100.00000000001</v>
      </c>
      <c r="Z50" s="17">
        <v>1.3333333333333333</v>
      </c>
      <c r="AA50" s="17"/>
      <c r="AB50" s="17"/>
      <c r="AC50" s="3"/>
      <c r="AD50" s="7">
        <v>8.3000000000000007</v>
      </c>
      <c r="AE50" s="30"/>
      <c r="AF50" s="30"/>
      <c r="AG50" s="30"/>
      <c r="AI50" s="3">
        <v>23.700000000000003</v>
      </c>
      <c r="AJ50" s="3">
        <v>23.700000000000003</v>
      </c>
      <c r="AK50" s="3">
        <v>19.256</v>
      </c>
      <c r="AL50" s="4">
        <v>0.81248945147679319</v>
      </c>
      <c r="AM50" s="3">
        <v>111100.00000000001</v>
      </c>
      <c r="AN50" s="17">
        <v>1.3333333333333333</v>
      </c>
      <c r="AO50" s="17"/>
      <c r="AP50" s="17"/>
      <c r="AQ50" s="3"/>
      <c r="AR50" s="7">
        <v>7.9000000000000012</v>
      </c>
      <c r="AS50" s="30"/>
      <c r="AT50" s="30"/>
      <c r="AU50" s="30"/>
      <c r="AW50" s="17">
        <v>21.75</v>
      </c>
      <c r="AX50" s="17">
        <v>21.75</v>
      </c>
      <c r="AY50" s="17">
        <v>17.305999999999997</v>
      </c>
      <c r="AZ50" s="4">
        <v>0.79567816091954013</v>
      </c>
      <c r="BA50" s="3">
        <v>111100.00000000001</v>
      </c>
      <c r="BB50" s="17">
        <f t="shared" si="4"/>
        <v>1.3333333333333333</v>
      </c>
      <c r="BC50" s="17"/>
      <c r="BD50" s="17"/>
      <c r="BE50" s="3"/>
      <c r="BF50" s="7">
        <v>7.25</v>
      </c>
      <c r="BG50" s="30"/>
      <c r="BH50" s="30"/>
      <c r="BI50" s="30"/>
      <c r="BK50" s="17">
        <f t="shared" si="5"/>
        <v>92.100000000000009</v>
      </c>
      <c r="BL50" s="17">
        <f t="shared" si="6"/>
        <v>92.691290000000009</v>
      </c>
      <c r="BM50" s="17">
        <f t="shared" si="7"/>
        <v>75.319289999999995</v>
      </c>
      <c r="BN50" s="4">
        <f t="shared" si="8"/>
        <v>0.8125821746574029</v>
      </c>
      <c r="BO50" s="3">
        <f t="shared" si="10"/>
        <v>108575</v>
      </c>
      <c r="BP50" s="7">
        <f t="shared" si="11"/>
        <v>1.3333333333333333</v>
      </c>
      <c r="BQ50" s="3"/>
      <c r="BR50" s="3"/>
      <c r="BS50" s="7"/>
      <c r="BT50" s="7">
        <f t="shared" si="9"/>
        <v>7.6626075000000009</v>
      </c>
      <c r="BU50" s="30"/>
      <c r="BV50" s="30"/>
      <c r="BW50" s="30"/>
      <c r="BY50" s="5" t="s">
        <v>100</v>
      </c>
      <c r="BZ50" s="5" t="s">
        <v>100</v>
      </c>
      <c r="CA50" s="5" t="s">
        <v>100</v>
      </c>
      <c r="CC50" s="21"/>
      <c r="CI50" s="5" t="s">
        <v>101</v>
      </c>
      <c r="CK50" t="s">
        <v>101</v>
      </c>
      <c r="CM50" s="5"/>
      <c r="CO50" t="s">
        <v>101</v>
      </c>
    </row>
    <row r="51" spans="1:93" x14ac:dyDescent="0.35">
      <c r="A51" s="3" t="s">
        <v>30</v>
      </c>
      <c r="B51" s="3" t="s">
        <v>70</v>
      </c>
      <c r="C51" s="3" t="s">
        <v>86</v>
      </c>
      <c r="D51" s="25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31"/>
      <c r="R51" s="31"/>
      <c r="S51" s="31"/>
      <c r="T51" s="15"/>
      <c r="U51" s="7">
        <v>109.5</v>
      </c>
      <c r="V51" s="7">
        <v>5.0999999999999996</v>
      </c>
      <c r="W51" s="3">
        <v>-15.839530819386864</v>
      </c>
      <c r="X51" s="4">
        <f t="shared" si="3"/>
        <v>-3.1057903567425225</v>
      </c>
      <c r="Y51" s="3">
        <v>116330.72677437146</v>
      </c>
      <c r="Z51" s="17">
        <v>6</v>
      </c>
      <c r="AA51" s="17"/>
      <c r="AB51" s="17"/>
      <c r="AC51" s="3"/>
      <c r="AD51" s="7">
        <v>9.125</v>
      </c>
      <c r="AE51" s="30"/>
      <c r="AF51" s="30"/>
      <c r="AG51" s="30"/>
      <c r="AI51" s="3">
        <v>139.5</v>
      </c>
      <c r="AJ51" s="3">
        <v>139.5</v>
      </c>
      <c r="AK51" s="3">
        <v>118.56046918061314</v>
      </c>
      <c r="AL51" s="4">
        <v>0.84989583642016586</v>
      </c>
      <c r="AM51" s="3">
        <v>116330.72677437146</v>
      </c>
      <c r="AN51" s="17">
        <v>6</v>
      </c>
      <c r="AO51" s="17"/>
      <c r="AP51" s="17"/>
      <c r="AQ51" s="3"/>
      <c r="AR51" s="7">
        <v>11.625</v>
      </c>
      <c r="AS51" s="30"/>
      <c r="AT51" s="30"/>
      <c r="AU51" s="30"/>
      <c r="AW51" s="17">
        <v>139.5</v>
      </c>
      <c r="AX51" s="17">
        <v>139.5</v>
      </c>
      <c r="AY51" s="17">
        <v>118.56046918061314</v>
      </c>
      <c r="AZ51" s="4">
        <v>0.84989583642016586</v>
      </c>
      <c r="BA51" s="3">
        <v>116330.72677437146</v>
      </c>
      <c r="BB51" s="17">
        <f t="shared" si="4"/>
        <v>6</v>
      </c>
      <c r="BC51" s="17"/>
      <c r="BD51" s="17"/>
      <c r="BE51" s="3"/>
      <c r="BF51" s="7">
        <v>11.625</v>
      </c>
      <c r="BG51" s="30"/>
      <c r="BH51" s="30"/>
      <c r="BI51" s="30"/>
      <c r="BK51" s="17">
        <f t="shared" si="5"/>
        <v>445.5</v>
      </c>
      <c r="BL51" s="17">
        <f t="shared" si="6"/>
        <v>284.10000000000002</v>
      </c>
      <c r="BM51" s="17">
        <f t="shared" si="7"/>
        <v>202.24547043330591</v>
      </c>
      <c r="BN51" s="4">
        <f t="shared" si="8"/>
        <v>0.71188127572441362</v>
      </c>
      <c r="BO51" s="3">
        <f t="shared" si="10"/>
        <v>113686.84662040847</v>
      </c>
      <c r="BP51" s="7">
        <f t="shared" si="11"/>
        <v>6</v>
      </c>
      <c r="BQ51" s="3"/>
      <c r="BR51" s="3"/>
      <c r="BS51" s="7"/>
      <c r="BT51" s="7">
        <f t="shared" si="9"/>
        <v>8.09375</v>
      </c>
      <c r="BU51" s="30"/>
      <c r="BV51" s="30"/>
      <c r="BW51" s="30"/>
      <c r="BY51" s="5" t="s">
        <v>100</v>
      </c>
      <c r="BZ51" s="5" t="s">
        <v>100</v>
      </c>
      <c r="CA51" s="5" t="s">
        <v>100</v>
      </c>
      <c r="CC51" s="21"/>
      <c r="CI51" s="5" t="s">
        <v>101</v>
      </c>
      <c r="CK51" t="s">
        <v>101</v>
      </c>
      <c r="CM51" s="5"/>
      <c r="CO51" t="s">
        <v>100</v>
      </c>
    </row>
    <row r="52" spans="1:93" x14ac:dyDescent="0.35">
      <c r="A52" s="3" t="s">
        <v>19</v>
      </c>
      <c r="B52" s="3" t="s">
        <v>70</v>
      </c>
      <c r="C52" s="3" t="s">
        <v>93</v>
      </c>
      <c r="D52" s="26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31"/>
      <c r="R52" s="31"/>
      <c r="S52" s="31"/>
      <c r="T52" s="15"/>
      <c r="U52" s="7">
        <v>6</v>
      </c>
      <c r="V52" s="7">
        <v>6</v>
      </c>
      <c r="W52" s="3">
        <v>-3.2013346584638978</v>
      </c>
      <c r="X52" s="4">
        <f t="shared" si="3"/>
        <v>-0.53355577641064966</v>
      </c>
      <c r="Y52" s="3">
        <v>153355.57764106497</v>
      </c>
      <c r="Z52" s="17">
        <v>2</v>
      </c>
      <c r="AA52" s="17"/>
      <c r="AB52" s="17"/>
      <c r="AC52" s="3"/>
      <c r="AD52" s="7">
        <v>2</v>
      </c>
      <c r="AE52" s="30"/>
      <c r="AF52" s="30"/>
      <c r="AG52" s="30"/>
      <c r="AI52" s="3">
        <v>9</v>
      </c>
      <c r="AJ52" s="3">
        <v>9</v>
      </c>
      <c r="AK52" s="3">
        <v>-0.20133465846389775</v>
      </c>
      <c r="AL52" s="4">
        <v>-2.2370517607099752E-2</v>
      </c>
      <c r="AM52" s="3">
        <v>153355.57764106497</v>
      </c>
      <c r="AN52" s="17">
        <v>2</v>
      </c>
      <c r="AO52" s="17"/>
      <c r="AP52" s="17"/>
      <c r="AQ52" s="3"/>
      <c r="AR52" s="7">
        <v>3</v>
      </c>
      <c r="AS52" s="30"/>
      <c r="AT52" s="30"/>
      <c r="AU52" s="30"/>
      <c r="AW52" s="17">
        <v>7</v>
      </c>
      <c r="AX52" s="17">
        <v>7</v>
      </c>
      <c r="AY52" s="17">
        <v>-2.2013346584638978</v>
      </c>
      <c r="AZ52" s="4">
        <v>-0.31447637978055681</v>
      </c>
      <c r="BA52" s="3">
        <v>153355.57764106497</v>
      </c>
      <c r="BB52" s="17">
        <f t="shared" si="4"/>
        <v>2</v>
      </c>
      <c r="BC52" s="17"/>
      <c r="BD52" s="17"/>
      <c r="BE52" s="3"/>
      <c r="BF52" s="7">
        <v>2.3333333333333335</v>
      </c>
      <c r="BG52" s="30"/>
      <c r="BH52" s="30"/>
      <c r="BI52" s="30"/>
      <c r="BK52" s="17">
        <f t="shared" si="5"/>
        <v>30</v>
      </c>
      <c r="BL52" s="17">
        <f t="shared" si="6"/>
        <v>28</v>
      </c>
      <c r="BM52" s="17">
        <f t="shared" si="7"/>
        <v>-7.9688536649043265</v>
      </c>
      <c r="BN52" s="4">
        <f t="shared" si="8"/>
        <v>-0.28460191660372597</v>
      </c>
      <c r="BO52" s="3">
        <f t="shared" si="10"/>
        <v>149870.22360376804</v>
      </c>
      <c r="BP52" s="7">
        <f t="shared" si="11"/>
        <v>2</v>
      </c>
      <c r="BQ52" s="3"/>
      <c r="BR52" s="3"/>
      <c r="BS52" s="7"/>
      <c r="BT52" s="7">
        <f t="shared" si="9"/>
        <v>2.3333333333333335</v>
      </c>
      <c r="BU52" s="30"/>
      <c r="BV52" s="30"/>
      <c r="BW52" s="30"/>
      <c r="BY52" s="5" t="s">
        <v>100</v>
      </c>
      <c r="BZ52" s="5" t="s">
        <v>100</v>
      </c>
      <c r="CA52" s="5" t="s">
        <v>100</v>
      </c>
      <c r="CC52" s="21"/>
      <c r="CI52" s="5" t="s">
        <v>101</v>
      </c>
      <c r="CK52" t="s">
        <v>101</v>
      </c>
      <c r="CM52" s="5"/>
      <c r="CO52" t="s">
        <v>101</v>
      </c>
    </row>
    <row r="53" spans="1:93" x14ac:dyDescent="0.35">
      <c r="A53" s="3" t="s">
        <v>61</v>
      </c>
      <c r="B53" s="3" t="s">
        <v>70</v>
      </c>
      <c r="C53" s="3" t="s">
        <v>93</v>
      </c>
      <c r="D53" s="26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31"/>
      <c r="R53" s="31"/>
      <c r="S53" s="31"/>
      <c r="T53" s="15"/>
      <c r="U53" s="7">
        <v>1</v>
      </c>
      <c r="V53" s="7">
        <v>0</v>
      </c>
      <c r="W53" s="3">
        <v>0</v>
      </c>
      <c r="X53" s="4">
        <f t="shared" si="3"/>
        <v>0</v>
      </c>
      <c r="Y53" s="3">
        <v>133743.22713362068</v>
      </c>
      <c r="Z53" s="17">
        <v>0</v>
      </c>
      <c r="AA53" s="17"/>
      <c r="AB53" s="17"/>
      <c r="AC53" s="3"/>
      <c r="AD53" s="7">
        <v>0.15873015873015872</v>
      </c>
      <c r="AE53" s="30"/>
      <c r="AF53" s="30"/>
      <c r="AG53" s="30"/>
      <c r="AI53" s="3">
        <v>1</v>
      </c>
      <c r="AJ53" s="3">
        <v>1</v>
      </c>
      <c r="AK53" s="3">
        <v>1</v>
      </c>
      <c r="AL53" s="4">
        <v>1</v>
      </c>
      <c r="AM53" s="3">
        <v>133743.22713362068</v>
      </c>
      <c r="AN53" s="17">
        <v>0</v>
      </c>
      <c r="AO53" s="17"/>
      <c r="AP53" s="17"/>
      <c r="AQ53" s="3"/>
      <c r="AR53" s="7">
        <v>0.15873015873015872</v>
      </c>
      <c r="AS53" s="30"/>
      <c r="AT53" s="30"/>
      <c r="AU53" s="30"/>
      <c r="AW53" s="17">
        <v>2</v>
      </c>
      <c r="AX53" s="17">
        <v>2</v>
      </c>
      <c r="AY53" s="17">
        <v>2</v>
      </c>
      <c r="AZ53" s="4">
        <v>1</v>
      </c>
      <c r="BA53" s="3">
        <v>133743.22713362068</v>
      </c>
      <c r="BB53" s="17">
        <f t="shared" si="4"/>
        <v>0</v>
      </c>
      <c r="BC53" s="17"/>
      <c r="BD53" s="17"/>
      <c r="BE53" s="3"/>
      <c r="BF53" s="7">
        <v>0.31746031746031744</v>
      </c>
      <c r="BG53" s="30"/>
      <c r="BH53" s="30"/>
      <c r="BI53" s="30"/>
      <c r="BK53" s="17">
        <f t="shared" si="5"/>
        <v>5</v>
      </c>
      <c r="BL53" s="17">
        <f t="shared" si="6"/>
        <v>3</v>
      </c>
      <c r="BM53" s="17">
        <f t="shared" si="7"/>
        <v>3</v>
      </c>
      <c r="BN53" s="4">
        <f t="shared" si="8"/>
        <v>1</v>
      </c>
      <c r="BO53" s="3">
        <f t="shared" si="10"/>
        <v>130703.60833512928</v>
      </c>
      <c r="BP53" s="7">
        <f t="shared" si="11"/>
        <v>0</v>
      </c>
      <c r="BQ53" s="3"/>
      <c r="BR53" s="3"/>
      <c r="BS53" s="7"/>
      <c r="BT53" s="7">
        <f t="shared" si="9"/>
        <v>0.15873015873015872</v>
      </c>
      <c r="BU53" s="30"/>
      <c r="BV53" s="30"/>
      <c r="BW53" s="30"/>
      <c r="BY53" s="5" t="s">
        <v>100</v>
      </c>
      <c r="BZ53" s="5" t="s">
        <v>100</v>
      </c>
      <c r="CA53" s="5" t="s">
        <v>100</v>
      </c>
      <c r="CC53" s="21"/>
      <c r="CI53" s="5" t="s">
        <v>101</v>
      </c>
      <c r="CK53" t="s">
        <v>101</v>
      </c>
      <c r="CM53" s="5"/>
      <c r="CO53" t="s">
        <v>101</v>
      </c>
    </row>
    <row r="54" spans="1:93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31"/>
      <c r="R54" s="31"/>
      <c r="S54" s="31"/>
      <c r="T54" s="15"/>
      <c r="U54" s="7">
        <v>0</v>
      </c>
      <c r="V54" s="7">
        <v>0</v>
      </c>
      <c r="W54" s="3">
        <v>0</v>
      </c>
      <c r="X54" s="4">
        <f t="shared" si="3"/>
        <v>0</v>
      </c>
      <c r="Y54" s="3">
        <v>0</v>
      </c>
      <c r="Z54" s="17">
        <v>0</v>
      </c>
      <c r="AA54" s="17"/>
      <c r="AB54" s="17"/>
      <c r="AC54" s="3"/>
      <c r="AD54" s="7">
        <v>0</v>
      </c>
      <c r="AE54" s="30"/>
      <c r="AF54" s="30"/>
      <c r="AG54" s="30"/>
      <c r="AI54" s="3">
        <v>0</v>
      </c>
      <c r="AJ54" s="3">
        <v>0</v>
      </c>
      <c r="AK54" s="3">
        <v>0</v>
      </c>
      <c r="AL54" s="4">
        <v>0</v>
      </c>
      <c r="AM54" s="3">
        <v>0</v>
      </c>
      <c r="AN54" s="17">
        <v>0</v>
      </c>
      <c r="AO54" s="17"/>
      <c r="AP54" s="17"/>
      <c r="AQ54" s="3"/>
      <c r="AR54" s="7">
        <v>0</v>
      </c>
      <c r="AS54" s="30"/>
      <c r="AT54" s="30"/>
      <c r="AU54" s="30"/>
      <c r="AW54" s="17">
        <v>0</v>
      </c>
      <c r="AX54" s="17">
        <v>0</v>
      </c>
      <c r="AY54" s="17">
        <v>0</v>
      </c>
      <c r="AZ54" s="4">
        <v>0</v>
      </c>
      <c r="BA54" s="3">
        <v>0</v>
      </c>
      <c r="BB54" s="17">
        <f t="shared" si="4"/>
        <v>0</v>
      </c>
      <c r="BC54" s="17"/>
      <c r="BD54" s="17"/>
      <c r="BE54" s="3"/>
      <c r="BF54" s="7">
        <v>0</v>
      </c>
      <c r="BG54" s="30"/>
      <c r="BH54" s="30"/>
      <c r="BI54" s="30"/>
      <c r="BK54" s="17">
        <f t="shared" si="5"/>
        <v>0</v>
      </c>
      <c r="BL54" s="17">
        <f t="shared" si="6"/>
        <v>0</v>
      </c>
      <c r="BM54" s="17">
        <f t="shared" si="7"/>
        <v>0</v>
      </c>
      <c r="BN54" s="4">
        <f t="shared" si="8"/>
        <v>0</v>
      </c>
      <c r="BO54" s="3">
        <f t="shared" si="10"/>
        <v>0</v>
      </c>
      <c r="BP54" s="7">
        <f t="shared" si="11"/>
        <v>0</v>
      </c>
      <c r="BQ54" s="3"/>
      <c r="BR54" s="3"/>
      <c r="BS54" s="7"/>
      <c r="BT54" s="7">
        <f t="shared" si="9"/>
        <v>0</v>
      </c>
      <c r="BU54" s="30"/>
      <c r="BV54" s="30"/>
      <c r="BW54" s="30"/>
      <c r="BY54" s="5" t="s">
        <v>100</v>
      </c>
      <c r="BZ54" s="5" t="s">
        <v>100</v>
      </c>
      <c r="CA54" s="5" t="s">
        <v>100</v>
      </c>
      <c r="CC54" s="21"/>
      <c r="CI54" s="5" t="s">
        <v>101</v>
      </c>
      <c r="CK54" t="s">
        <v>101</v>
      </c>
      <c r="CM54" s="5"/>
      <c r="CO54" t="s">
        <v>101</v>
      </c>
    </row>
    <row r="55" spans="1:93" x14ac:dyDescent="0.35">
      <c r="A55" s="3" t="s">
        <v>65</v>
      </c>
      <c r="B55" s="3" t="s">
        <v>70</v>
      </c>
      <c r="C55" s="3" t="s">
        <v>92</v>
      </c>
      <c r="D55" s="25" t="s">
        <v>119</v>
      </c>
      <c r="E55" s="3" t="s">
        <v>95</v>
      </c>
      <c r="F55" s="5"/>
      <c r="G55" s="14">
        <v>60.514180000000003</v>
      </c>
      <c r="H55" s="17">
        <v>32.5</v>
      </c>
      <c r="I55" s="3">
        <v>2.2736636198644078E-2</v>
      </c>
      <c r="J55" s="4">
        <f t="shared" si="2"/>
        <v>6.9958880611212552E-4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31"/>
      <c r="R55" s="31"/>
      <c r="S55" s="31"/>
      <c r="T55" s="15"/>
      <c r="U55" s="7">
        <v>130.62295999999998</v>
      </c>
      <c r="V55" s="7">
        <v>130.62295999999998</v>
      </c>
      <c r="W55" s="3">
        <v>94.897970299818496</v>
      </c>
      <c r="X55" s="4">
        <f t="shared" si="3"/>
        <v>0.72650298461938478</v>
      </c>
      <c r="Y55" s="3">
        <v>55820.296406533576</v>
      </c>
      <c r="Z55" s="17">
        <v>21.333333333333332</v>
      </c>
      <c r="AA55" s="17"/>
      <c r="AB55" s="17"/>
      <c r="AC55" s="3"/>
      <c r="AD55" s="7">
        <v>2.1554943894389438</v>
      </c>
      <c r="AE55" s="30"/>
      <c r="AF55" s="30"/>
      <c r="AG55" s="30"/>
      <c r="AI55" s="3">
        <v>149.51603</v>
      </c>
      <c r="AJ55" s="3">
        <v>149.51603</v>
      </c>
      <c r="AK55" s="3">
        <v>113.79104029981852</v>
      </c>
      <c r="AL55" s="4">
        <v>0.76106247804879867</v>
      </c>
      <c r="AM55" s="3">
        <v>55820.296406533576</v>
      </c>
      <c r="AN55" s="17">
        <v>21.333333333333332</v>
      </c>
      <c r="AO55" s="17"/>
      <c r="AP55" s="17"/>
      <c r="AQ55" s="3"/>
      <c r="AR55" s="7">
        <v>2.4672612211221123</v>
      </c>
      <c r="AS55" s="30"/>
      <c r="AT55" s="30"/>
      <c r="AU55" s="30"/>
      <c r="AW55" s="17">
        <v>193.60619</v>
      </c>
      <c r="AX55" s="17">
        <v>193.60619</v>
      </c>
      <c r="AY55" s="17">
        <v>157.88120029981852</v>
      </c>
      <c r="AZ55" s="4">
        <v>0.81547599433581397</v>
      </c>
      <c r="BA55" s="3">
        <v>55820.296406533576</v>
      </c>
      <c r="BB55" s="17">
        <f t="shared" si="4"/>
        <v>21.333333333333332</v>
      </c>
      <c r="BC55" s="17"/>
      <c r="BD55" s="17"/>
      <c r="BE55" s="3"/>
      <c r="BF55" s="7">
        <v>3.1948216171617165</v>
      </c>
      <c r="BG55" s="30"/>
      <c r="BH55" s="30"/>
      <c r="BI55" s="30"/>
      <c r="BK55" s="17">
        <f t="shared" si="5"/>
        <v>534.25936000000002</v>
      </c>
      <c r="BL55" s="17">
        <f t="shared" si="6"/>
        <v>506.24518</v>
      </c>
      <c r="BM55" s="17">
        <f t="shared" si="7"/>
        <v>366.59294753565422</v>
      </c>
      <c r="BN55" s="4">
        <f t="shared" si="8"/>
        <v>0.72414111189296504</v>
      </c>
      <c r="BO55" s="3">
        <f t="shared" si="10"/>
        <v>54551.65330638508</v>
      </c>
      <c r="BP55" s="7">
        <f t="shared" si="11"/>
        <v>21.333333333333332</v>
      </c>
      <c r="BQ55" s="3"/>
      <c r="BR55" s="3"/>
      <c r="BS55" s="7"/>
      <c r="BT55" s="7">
        <f t="shared" si="9"/>
        <v>2.0069933168316831</v>
      </c>
      <c r="BU55" s="30"/>
      <c r="BV55" s="30"/>
      <c r="BW55" s="30"/>
      <c r="BY55" s="5" t="s">
        <v>100</v>
      </c>
      <c r="BZ55" s="5" t="s">
        <v>100</v>
      </c>
      <c r="CA55" s="5" t="s">
        <v>100</v>
      </c>
      <c r="CC55" s="21"/>
      <c r="CI55" s="5" t="s">
        <v>101</v>
      </c>
      <c r="CK55" t="s">
        <v>101</v>
      </c>
      <c r="CM55" s="5"/>
      <c r="CO55" t="s">
        <v>100</v>
      </c>
    </row>
    <row r="56" spans="1:93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31"/>
      <c r="R56" s="31"/>
      <c r="S56" s="31"/>
      <c r="T56" s="15"/>
      <c r="U56" s="7">
        <v>24</v>
      </c>
      <c r="V56" s="7">
        <v>6.5</v>
      </c>
      <c r="W56" s="3">
        <v>3.8336000000000001</v>
      </c>
      <c r="X56" s="4">
        <f t="shared" si="3"/>
        <v>0.58978461538461535</v>
      </c>
      <c r="Y56" s="3">
        <v>111100.00000000001</v>
      </c>
      <c r="Z56" s="17">
        <v>0.79999999999999993</v>
      </c>
      <c r="AA56" s="17"/>
      <c r="AB56" s="17"/>
      <c r="AC56" s="3"/>
      <c r="AD56" s="7">
        <v>0</v>
      </c>
      <c r="AE56" s="30"/>
      <c r="AF56" s="30"/>
      <c r="AG56" s="30"/>
      <c r="AI56" s="3">
        <v>40</v>
      </c>
      <c r="AJ56" s="3">
        <v>40</v>
      </c>
      <c r="AK56" s="3">
        <v>37.333599999999997</v>
      </c>
      <c r="AL56" s="4">
        <v>0.93333999999999995</v>
      </c>
      <c r="AM56" s="3">
        <v>111100.00000000001</v>
      </c>
      <c r="AN56" s="17">
        <v>0.79999999999999993</v>
      </c>
      <c r="AO56" s="17"/>
      <c r="AP56" s="17"/>
      <c r="AQ56" s="3"/>
      <c r="AR56" s="7">
        <v>0</v>
      </c>
      <c r="AS56" s="30"/>
      <c r="AT56" s="30"/>
      <c r="AU56" s="30"/>
      <c r="AW56" s="17">
        <v>50</v>
      </c>
      <c r="AX56" s="17">
        <v>50</v>
      </c>
      <c r="AY56" s="17">
        <v>47.333599999999997</v>
      </c>
      <c r="AZ56" s="4">
        <v>0.94667199999999996</v>
      </c>
      <c r="BA56" s="3">
        <v>111100.00000000001</v>
      </c>
      <c r="BB56" s="17">
        <f t="shared" si="4"/>
        <v>0.79999999999999993</v>
      </c>
      <c r="BC56" s="17"/>
      <c r="BD56" s="17"/>
      <c r="BE56" s="3"/>
      <c r="BF56" s="7">
        <v>0</v>
      </c>
      <c r="BG56" s="30"/>
      <c r="BH56" s="30"/>
      <c r="BI56" s="30"/>
      <c r="BK56" s="17">
        <f t="shared" si="5"/>
        <v>150.6645</v>
      </c>
      <c r="BL56" s="17">
        <f t="shared" si="6"/>
        <v>100.27106000000001</v>
      </c>
      <c r="BM56" s="17">
        <f t="shared" si="7"/>
        <v>89.847859999999997</v>
      </c>
      <c r="BN56" s="4">
        <f t="shared" si="8"/>
        <v>0.89604976750021381</v>
      </c>
      <c r="BO56" s="3">
        <f t="shared" si="10"/>
        <v>108575</v>
      </c>
      <c r="BP56" s="7">
        <f t="shared" si="11"/>
        <v>0.79999999999999993</v>
      </c>
      <c r="BQ56" s="3"/>
      <c r="BR56" s="3"/>
      <c r="BS56" s="7"/>
      <c r="BT56" s="7">
        <f t="shared" si="9"/>
        <v>0</v>
      </c>
      <c r="BU56" s="30"/>
      <c r="BV56" s="30"/>
      <c r="BW56" s="30"/>
      <c r="BY56" s="5" t="s">
        <v>100</v>
      </c>
      <c r="BZ56" s="5" t="s">
        <v>100</v>
      </c>
      <c r="CA56" s="5" t="s">
        <v>100</v>
      </c>
      <c r="CC56" s="21"/>
      <c r="CG56">
        <f>175278/100000</f>
        <v>1.75278</v>
      </c>
      <c r="CI56" s="5" t="s">
        <v>101</v>
      </c>
      <c r="CK56" t="s">
        <v>101</v>
      </c>
      <c r="CM56" s="5"/>
      <c r="CO56" t="s">
        <v>101</v>
      </c>
    </row>
    <row r="57" spans="1:93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31"/>
      <c r="R57" s="31"/>
      <c r="S57" s="31"/>
      <c r="T57" s="15"/>
      <c r="U57" s="7">
        <v>64</v>
      </c>
      <c r="V57" s="7">
        <v>30</v>
      </c>
      <c r="W57" s="3">
        <v>25.070056744754275</v>
      </c>
      <c r="X57" s="4">
        <f t="shared" si="3"/>
        <v>0.83566855815847585</v>
      </c>
      <c r="Y57" s="3">
        <v>492994.3255245724</v>
      </c>
      <c r="Z57" s="17">
        <v>0.33333333333333331</v>
      </c>
      <c r="AA57" s="17"/>
      <c r="AB57" s="17"/>
      <c r="AC57" s="3"/>
      <c r="AD57" s="7">
        <v>0</v>
      </c>
      <c r="AE57" s="30"/>
      <c r="AF57" s="30"/>
      <c r="AG57" s="30"/>
      <c r="AI57" s="3">
        <v>118</v>
      </c>
      <c r="AJ57" s="3">
        <v>118</v>
      </c>
      <c r="AK57" s="3">
        <v>113.07005674475428</v>
      </c>
      <c r="AL57" s="4">
        <v>0.95822081987079899</v>
      </c>
      <c r="AM57" s="3">
        <v>492994.3255245724</v>
      </c>
      <c r="AN57" s="17">
        <v>0.33333333333333331</v>
      </c>
      <c r="AO57" s="17"/>
      <c r="AP57" s="17"/>
      <c r="AQ57" s="3"/>
      <c r="AR57" s="7">
        <v>0</v>
      </c>
      <c r="AS57" s="30"/>
      <c r="AT57" s="30"/>
      <c r="AU57" s="30"/>
      <c r="AW57" s="17">
        <v>150</v>
      </c>
      <c r="AX57" s="17">
        <v>150</v>
      </c>
      <c r="AY57" s="17">
        <v>145.07005674475428</v>
      </c>
      <c r="AZ57" s="4">
        <v>0.96713371163169526</v>
      </c>
      <c r="BA57" s="3">
        <v>492994.3255245724</v>
      </c>
      <c r="BB57" s="17">
        <f t="shared" si="4"/>
        <v>0.33333333333333331</v>
      </c>
      <c r="BC57" s="17"/>
      <c r="BD57" s="17"/>
      <c r="BE57" s="3"/>
      <c r="BF57" s="7">
        <v>0</v>
      </c>
      <c r="BG57" s="30"/>
      <c r="BH57" s="30"/>
      <c r="BI57" s="30"/>
      <c r="BK57" s="17">
        <f t="shared" si="5"/>
        <v>349.41289999999998</v>
      </c>
      <c r="BL57" s="17">
        <f t="shared" si="6"/>
        <v>298</v>
      </c>
      <c r="BM57" s="17">
        <f t="shared" si="7"/>
        <v>278.72840363858489</v>
      </c>
      <c r="BN57" s="4">
        <f t="shared" si="8"/>
        <v>0.93533021355229828</v>
      </c>
      <c r="BO57" s="3">
        <f t="shared" si="10"/>
        <v>481789.90903537755</v>
      </c>
      <c r="BP57" s="7">
        <f t="shared" si="11"/>
        <v>0.33333333333333331</v>
      </c>
      <c r="BQ57" s="3"/>
      <c r="BR57" s="3"/>
      <c r="BS57" s="7"/>
      <c r="BT57" s="7">
        <f t="shared" si="9"/>
        <v>0</v>
      </c>
      <c r="BU57" s="30"/>
      <c r="BV57" s="30"/>
      <c r="BW57" s="30"/>
      <c r="BY57" s="5" t="s">
        <v>100</v>
      </c>
      <c r="BZ57" s="5" t="s">
        <v>100</v>
      </c>
      <c r="CA57" s="5" t="s">
        <v>100</v>
      </c>
      <c r="CC57" s="21"/>
      <c r="CI57" s="5" t="s">
        <v>101</v>
      </c>
      <c r="CK57" t="s">
        <v>101</v>
      </c>
      <c r="CM57" s="5"/>
      <c r="CO57" t="s">
        <v>101</v>
      </c>
    </row>
    <row r="58" spans="1:93" x14ac:dyDescent="0.35">
      <c r="A58" s="16" t="s">
        <v>96</v>
      </c>
      <c r="B58" s="3" t="s">
        <v>70</v>
      </c>
      <c r="C58" s="16" t="s">
        <v>86</v>
      </c>
      <c r="D58" s="25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31"/>
      <c r="R58" s="31"/>
      <c r="S58" s="31"/>
      <c r="T58" s="15"/>
      <c r="U58" s="3"/>
      <c r="V58" s="7">
        <v>23</v>
      </c>
      <c r="W58" s="3">
        <v>23</v>
      </c>
      <c r="X58" s="4">
        <f t="shared" si="3"/>
        <v>1</v>
      </c>
      <c r="Y58" s="3">
        <v>99000.000000000015</v>
      </c>
      <c r="Z58" s="17">
        <v>0</v>
      </c>
      <c r="AA58" s="17"/>
      <c r="AB58" s="17"/>
      <c r="AC58" s="3"/>
      <c r="AD58" s="7">
        <v>0</v>
      </c>
      <c r="AE58" s="30"/>
      <c r="AF58" s="30"/>
      <c r="AG58" s="30"/>
      <c r="AI58" s="3"/>
      <c r="AJ58" s="3">
        <v>6</v>
      </c>
      <c r="AK58" s="3"/>
      <c r="AL58" s="4"/>
      <c r="AM58" s="3"/>
      <c r="AN58" s="17">
        <v>0</v>
      </c>
      <c r="AO58" s="17"/>
      <c r="AP58" s="17"/>
      <c r="AQ58" s="3"/>
      <c r="AR58" s="7">
        <v>0</v>
      </c>
      <c r="AS58" s="30"/>
      <c r="AT58" s="30"/>
      <c r="AU58" s="30"/>
      <c r="AW58" s="8"/>
      <c r="AX58" s="8">
        <v>6</v>
      </c>
      <c r="AY58" s="17">
        <v>0</v>
      </c>
      <c r="AZ58" s="4">
        <v>0</v>
      </c>
      <c r="BA58" s="3">
        <v>99000.000000000015</v>
      </c>
      <c r="BB58" s="17">
        <f t="shared" si="4"/>
        <v>0</v>
      </c>
      <c r="BC58" s="17"/>
      <c r="BD58" s="17"/>
      <c r="BE58" s="8"/>
      <c r="BF58" s="7">
        <v>0</v>
      </c>
      <c r="BG58" s="30"/>
      <c r="BH58" s="30"/>
      <c r="BI58" s="30"/>
      <c r="BK58" s="17">
        <f t="shared" si="5"/>
        <v>0</v>
      </c>
      <c r="BL58" s="17">
        <f t="shared" si="6"/>
        <v>39</v>
      </c>
      <c r="BM58" s="17">
        <f t="shared" si="7"/>
        <v>23.85</v>
      </c>
      <c r="BN58" s="4">
        <f t="shared" si="8"/>
        <v>0.61153846153846159</v>
      </c>
      <c r="BO58" s="3">
        <f t="shared" si="10"/>
        <v>96000</v>
      </c>
      <c r="BP58" s="7">
        <f t="shared" si="11"/>
        <v>0.29166666666666669</v>
      </c>
      <c r="BQ58" s="5"/>
      <c r="BR58" s="5"/>
      <c r="BS58" s="7"/>
      <c r="BT58" s="7">
        <f t="shared" si="9"/>
        <v>9.5238095238095233E-2</v>
      </c>
      <c r="BU58" s="30"/>
      <c r="BV58" s="30"/>
      <c r="BW58" s="30"/>
      <c r="BY58" s="5" t="s">
        <v>100</v>
      </c>
      <c r="BZ58" s="5" t="s">
        <v>100</v>
      </c>
      <c r="CA58" s="5" t="s">
        <v>100</v>
      </c>
      <c r="CC58" s="21"/>
      <c r="CI58" s="5" t="s">
        <v>101</v>
      </c>
      <c r="CK58" t="s">
        <v>101</v>
      </c>
      <c r="CM58" s="5"/>
      <c r="CO58" t="s">
        <v>101</v>
      </c>
    </row>
    <row r="59" spans="1:93" x14ac:dyDescent="0.35">
      <c r="A59" s="16" t="s">
        <v>97</v>
      </c>
      <c r="B59" s="3" t="s">
        <v>70</v>
      </c>
      <c r="C59" s="16" t="s">
        <v>86</v>
      </c>
      <c r="D59" s="25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31"/>
      <c r="R59" s="31"/>
      <c r="S59" s="31"/>
      <c r="T59" s="15"/>
      <c r="U59" s="3"/>
      <c r="V59" s="7">
        <v>5.0999999999999996</v>
      </c>
      <c r="W59" s="3">
        <v>5.0999999999999996</v>
      </c>
      <c r="X59" s="4">
        <f t="shared" si="3"/>
        <v>1</v>
      </c>
      <c r="Y59" s="3">
        <v>99000.000000000015</v>
      </c>
      <c r="Z59" s="17">
        <v>0</v>
      </c>
      <c r="AA59" s="17"/>
      <c r="AB59" s="17"/>
      <c r="AC59" s="3"/>
      <c r="AD59" s="7">
        <v>0</v>
      </c>
      <c r="AE59" s="30"/>
      <c r="AF59" s="30"/>
      <c r="AG59" s="30"/>
      <c r="AI59" s="3"/>
      <c r="AJ59" s="3">
        <v>5.0999999999999996</v>
      </c>
      <c r="AK59" s="3"/>
      <c r="AL59" s="4"/>
      <c r="AM59" s="3"/>
      <c r="AN59" s="17">
        <v>0</v>
      </c>
      <c r="AO59" s="17"/>
      <c r="AP59" s="17"/>
      <c r="AQ59" s="3"/>
      <c r="AR59" s="7">
        <v>0</v>
      </c>
      <c r="AS59" s="30"/>
      <c r="AT59" s="30"/>
      <c r="AU59" s="30"/>
      <c r="AW59" s="8"/>
      <c r="AX59" s="8">
        <v>5.0999999999999996</v>
      </c>
      <c r="AY59" s="17">
        <v>0</v>
      </c>
      <c r="AZ59" s="4">
        <v>0</v>
      </c>
      <c r="BA59" s="3">
        <v>99000.000000000015</v>
      </c>
      <c r="BB59" s="17">
        <f t="shared" si="4"/>
        <v>0</v>
      </c>
      <c r="BC59" s="17"/>
      <c r="BD59" s="17"/>
      <c r="BE59" s="8"/>
      <c r="BF59" s="7">
        <v>0</v>
      </c>
      <c r="BG59" s="30"/>
      <c r="BH59" s="30"/>
      <c r="BI59" s="30"/>
      <c r="BK59" s="17">
        <f t="shared" si="5"/>
        <v>0</v>
      </c>
      <c r="BL59" s="17">
        <f t="shared" si="6"/>
        <v>20.549999999999997</v>
      </c>
      <c r="BM59" s="17">
        <f t="shared" si="7"/>
        <v>8.82</v>
      </c>
      <c r="BN59" s="4">
        <f t="shared" si="8"/>
        <v>0.4291970802919709</v>
      </c>
      <c r="BO59" s="3">
        <f t="shared" si="10"/>
        <v>96000</v>
      </c>
      <c r="BP59" s="7">
        <f t="shared" si="11"/>
        <v>0.14166666666666666</v>
      </c>
      <c r="BQ59" s="5"/>
      <c r="BR59" s="5"/>
      <c r="BS59" s="7"/>
      <c r="BT59" s="7">
        <f t="shared" si="9"/>
        <v>0.31250000000000006</v>
      </c>
      <c r="BU59" s="30"/>
      <c r="BV59" s="30"/>
      <c r="BW59" s="30"/>
      <c r="BY59" s="5" t="s">
        <v>100</v>
      </c>
      <c r="BZ59" s="5" t="s">
        <v>100</v>
      </c>
      <c r="CA59" s="5" t="s">
        <v>100</v>
      </c>
      <c r="CC59" s="21"/>
      <c r="CE59">
        <v>1.75</v>
      </c>
      <c r="CI59" s="5" t="s">
        <v>101</v>
      </c>
      <c r="CK59" t="s">
        <v>101</v>
      </c>
      <c r="CM59" s="5"/>
      <c r="CO59" t="s">
        <v>101</v>
      </c>
    </row>
    <row r="60" spans="1:93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14">
        <v>217</v>
      </c>
      <c r="H60" s="17">
        <v>0</v>
      </c>
      <c r="I60" s="3">
        <v>0</v>
      </c>
      <c r="J60" s="4">
        <f t="shared" si="2"/>
        <v>0</v>
      </c>
      <c r="K60" s="3">
        <v>0</v>
      </c>
      <c r="L60" s="17">
        <v>0</v>
      </c>
      <c r="M60" s="17"/>
      <c r="N60" s="8"/>
      <c r="O60" s="8"/>
      <c r="P60" s="8"/>
      <c r="U60" s="24">
        <v>518</v>
      </c>
      <c r="V60" s="7">
        <v>0</v>
      </c>
      <c r="W60" s="3">
        <v>0</v>
      </c>
      <c r="X60" s="4">
        <f t="shared" si="3"/>
        <v>0</v>
      </c>
      <c r="Y60" s="3">
        <v>0</v>
      </c>
      <c r="AA60" s="17"/>
      <c r="AI60" s="16">
        <f>759+12</f>
        <v>771</v>
      </c>
      <c r="AJ60" s="16">
        <v>0</v>
      </c>
      <c r="AN60">
        <v>0</v>
      </c>
      <c r="AO60" s="17"/>
      <c r="AW60" s="22">
        <f>1013+12</f>
        <v>1025</v>
      </c>
      <c r="AX60">
        <v>0</v>
      </c>
      <c r="BK60" s="17">
        <f>U60+AI60+AW60+G60</f>
        <v>2531</v>
      </c>
      <c r="BL60" s="17">
        <f t="shared" si="6"/>
        <v>0</v>
      </c>
      <c r="BM60" s="17">
        <f t="shared" si="7"/>
        <v>0</v>
      </c>
      <c r="BN60" s="4">
        <f t="shared" si="8"/>
        <v>0</v>
      </c>
      <c r="BO60" s="3">
        <f t="shared" si="10"/>
        <v>0</v>
      </c>
      <c r="BP60" s="18"/>
      <c r="BT60" s="7"/>
      <c r="BU60" s="30"/>
      <c r="BV60" s="30"/>
      <c r="BW60" s="30"/>
    </row>
    <row r="61" spans="1:93" x14ac:dyDescent="0.35">
      <c r="A61" s="16" t="s">
        <v>121</v>
      </c>
      <c r="B61" s="16" t="s">
        <v>122</v>
      </c>
      <c r="C61" s="16" t="s">
        <v>122</v>
      </c>
      <c r="D61" s="2" t="s">
        <v>118</v>
      </c>
      <c r="E61" s="16" t="s">
        <v>122</v>
      </c>
      <c r="G61" s="28"/>
      <c r="H61" s="17">
        <v>25</v>
      </c>
      <c r="I61" s="3">
        <v>6.1704803999999989</v>
      </c>
      <c r="J61" s="4">
        <f t="shared" si="2"/>
        <v>0.24681921599999995</v>
      </c>
      <c r="K61" s="3">
        <v>0</v>
      </c>
      <c r="L61" s="17">
        <v>5.2</v>
      </c>
      <c r="M61" s="8"/>
      <c r="N61" s="8"/>
      <c r="O61" s="8"/>
      <c r="P61" s="8"/>
      <c r="U61" s="18"/>
      <c r="V61" s="7">
        <v>29.36</v>
      </c>
      <c r="W61" s="3">
        <v>17.598559999999999</v>
      </c>
      <c r="X61" s="4">
        <f t="shared" si="3"/>
        <v>0.59940599455040866</v>
      </c>
      <c r="Y61" s="3">
        <v>0</v>
      </c>
      <c r="AJ61" s="18">
        <v>0</v>
      </c>
      <c r="AK61" s="18"/>
      <c r="AX61" s="18">
        <v>0</v>
      </c>
      <c r="BL61" s="17">
        <f t="shared" si="6"/>
        <v>54.36</v>
      </c>
      <c r="BM61" s="17">
        <f t="shared" si="7"/>
        <v>23.769040399999998</v>
      </c>
      <c r="BN61" s="4">
        <f t="shared" si="8"/>
        <v>0.4372523988226637</v>
      </c>
      <c r="BO61" s="3">
        <f t="shared" si="10"/>
        <v>0</v>
      </c>
    </row>
    <row r="62" spans="1:93" x14ac:dyDescent="0.35">
      <c r="A62" s="16" t="s">
        <v>129</v>
      </c>
      <c r="B62" s="16" t="s">
        <v>83</v>
      </c>
      <c r="C62" s="16" t="s">
        <v>130</v>
      </c>
      <c r="D62" s="2" t="s">
        <v>119</v>
      </c>
      <c r="E62" s="16" t="s">
        <v>95</v>
      </c>
      <c r="G62" s="8"/>
      <c r="H62" s="17">
        <v>3.18</v>
      </c>
      <c r="I62" s="8"/>
      <c r="J62" s="8"/>
      <c r="K62" s="8"/>
      <c r="L62" s="8"/>
      <c r="M62" s="8"/>
      <c r="N62" s="8"/>
      <c r="O62" s="8"/>
      <c r="P62" s="8"/>
      <c r="V62" s="3">
        <v>3.2</v>
      </c>
      <c r="W62" s="3"/>
      <c r="X62" s="4">
        <f t="shared" si="3"/>
        <v>0</v>
      </c>
      <c r="Y62" s="3">
        <v>0</v>
      </c>
      <c r="AJ62">
        <v>3.2</v>
      </c>
      <c r="AX62">
        <v>3.2</v>
      </c>
      <c r="BL62" s="17">
        <f>V62+AJ62+AX62+H62</f>
        <v>12.780000000000001</v>
      </c>
      <c r="BM62" s="17">
        <f t="shared" si="7"/>
        <v>0</v>
      </c>
      <c r="BN62" s="4">
        <f t="shared" si="8"/>
        <v>0</v>
      </c>
      <c r="BO62" s="3">
        <f t="shared" si="10"/>
        <v>0</v>
      </c>
    </row>
  </sheetData>
  <mergeCells count="6">
    <mergeCell ref="BY1:CA1"/>
    <mergeCell ref="G1:S1"/>
    <mergeCell ref="U1:AG1"/>
    <mergeCell ref="AI1:AU1"/>
    <mergeCell ref="AW1:BI1"/>
    <mergeCell ref="BK1:BW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AX66"/>
  <sheetViews>
    <sheetView tabSelected="1" workbookViewId="0">
      <selection activeCell="G1" sqref="G1:T1"/>
    </sheetView>
  </sheetViews>
  <sheetFormatPr defaultRowHeight="14.5" x14ac:dyDescent="0.35"/>
  <cols>
    <col min="1" max="1" width="25.26953125" bestFit="1" customWidth="1"/>
    <col min="2" max="3" width="8.7265625" hidden="1" customWidth="1"/>
    <col min="4" max="4" width="13.54296875" hidden="1" customWidth="1"/>
    <col min="5" max="5" width="8.7265625" hidden="1" customWidth="1"/>
    <col min="6" max="6" width="5.08984375" customWidth="1"/>
    <col min="7" max="7" width="15.7265625" customWidth="1"/>
    <col min="8" max="8" width="13.90625" customWidth="1"/>
    <col min="9" max="13" width="8.7265625" customWidth="1"/>
    <col min="14" max="14" width="9.90625" bestFit="1" customWidth="1"/>
    <col min="15" max="20" width="8.7265625" customWidth="1"/>
    <col min="22" max="22" width="15.7265625" bestFit="1" customWidth="1"/>
    <col min="23" max="23" width="13.90625" bestFit="1" customWidth="1"/>
    <col min="37" max="37" width="15.7265625" bestFit="1" customWidth="1"/>
  </cols>
  <sheetData>
    <row r="1" spans="1:50" x14ac:dyDescent="0.35">
      <c r="G1" s="33" t="s">
        <v>123</v>
      </c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V1" s="33" t="s">
        <v>125</v>
      </c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K1" s="33" t="s">
        <v>126</v>
      </c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</row>
    <row r="2" spans="1:50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G2" s="1" t="s">
        <v>128</v>
      </c>
      <c r="H2" s="1" t="s">
        <v>124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127</v>
      </c>
      <c r="Q2" s="1" t="s">
        <v>28</v>
      </c>
      <c r="R2" s="11" t="s">
        <v>135</v>
      </c>
      <c r="S2" s="11" t="s">
        <v>136</v>
      </c>
      <c r="T2" s="11" t="s">
        <v>137</v>
      </c>
      <c r="V2" s="1" t="s">
        <v>128</v>
      </c>
      <c r="W2" s="1" t="s">
        <v>124</v>
      </c>
      <c r="X2" s="1" t="s">
        <v>26</v>
      </c>
      <c r="Y2" s="1" t="s">
        <v>25</v>
      </c>
      <c r="Z2" s="1" t="s">
        <v>27</v>
      </c>
      <c r="AA2" s="1" t="s">
        <v>68</v>
      </c>
      <c r="AB2" s="1" t="s">
        <v>113</v>
      </c>
      <c r="AC2" s="1" t="s">
        <v>112</v>
      </c>
      <c r="AD2" s="1" t="s">
        <v>34</v>
      </c>
      <c r="AE2" s="1" t="s">
        <v>127</v>
      </c>
      <c r="AF2" s="1" t="s">
        <v>28</v>
      </c>
      <c r="AG2" s="11" t="s">
        <v>135</v>
      </c>
      <c r="AH2" s="11" t="s">
        <v>136</v>
      </c>
      <c r="AI2" s="11" t="s">
        <v>137</v>
      </c>
      <c r="AK2" s="1" t="s">
        <v>128</v>
      </c>
      <c r="AL2" s="1" t="s">
        <v>124</v>
      </c>
      <c r="AM2" s="1" t="s">
        <v>26</v>
      </c>
      <c r="AN2" s="1" t="s">
        <v>25</v>
      </c>
      <c r="AO2" s="1" t="s">
        <v>27</v>
      </c>
      <c r="AP2" s="1" t="s">
        <v>68</v>
      </c>
      <c r="AQ2" s="1" t="s">
        <v>113</v>
      </c>
      <c r="AR2" s="1" t="s">
        <v>112</v>
      </c>
      <c r="AS2" s="1" t="s">
        <v>34</v>
      </c>
      <c r="AT2" s="1" t="s">
        <v>127</v>
      </c>
      <c r="AU2" s="1" t="s">
        <v>28</v>
      </c>
      <c r="AV2" s="11" t="s">
        <v>135</v>
      </c>
      <c r="AW2" s="11" t="s">
        <v>136</v>
      </c>
      <c r="AX2" s="11" t="s">
        <v>137</v>
      </c>
    </row>
    <row r="3" spans="1:50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G3" s="14">
        <v>120</v>
      </c>
      <c r="H3" s="17">
        <v>120</v>
      </c>
      <c r="I3" s="6">
        <v>57.005134995141646</v>
      </c>
      <c r="J3" s="4">
        <f>IFERROR(I3/H3,0)</f>
        <v>0.47504279162618041</v>
      </c>
      <c r="K3" s="3">
        <v>107867.91952886705</v>
      </c>
      <c r="L3" s="17">
        <v>58.4</v>
      </c>
      <c r="M3" s="17">
        <f>IFERROR(G3/T3*100000,0)</f>
        <v>48387.096774193553</v>
      </c>
      <c r="N3" s="4">
        <f>IFERROR(R3/T3,0)</f>
        <v>0.59677419354838712</v>
      </c>
      <c r="O3" s="6">
        <v>3.9572192513368987</v>
      </c>
      <c r="P3" s="6">
        <v>0</v>
      </c>
      <c r="Q3" s="7">
        <v>2.0547945205479454</v>
      </c>
      <c r="R3" s="30">
        <v>148</v>
      </c>
      <c r="S3" s="30">
        <v>100</v>
      </c>
      <c r="T3" s="30">
        <f>R3+S3</f>
        <v>248</v>
      </c>
      <c r="V3" s="14">
        <v>167</v>
      </c>
      <c r="W3" s="17">
        <v>176.11369999999999</v>
      </c>
      <c r="X3" s="6">
        <v>57.005134995141646</v>
      </c>
      <c r="Y3" s="4">
        <f>IFERROR(X3/W3,0)</f>
        <v>0.32368370544223218</v>
      </c>
      <c r="Z3" s="3"/>
      <c r="AA3" s="17"/>
      <c r="AB3" s="17"/>
      <c r="AC3" s="6"/>
      <c r="AD3" s="6"/>
      <c r="AE3" s="6"/>
      <c r="AF3" s="7"/>
      <c r="AG3" s="30"/>
      <c r="AH3" s="30"/>
      <c r="AI3" s="30"/>
      <c r="AK3" s="14">
        <v>188</v>
      </c>
      <c r="AL3" s="17">
        <v>188</v>
      </c>
      <c r="AM3" s="3"/>
      <c r="AN3" s="4"/>
      <c r="AO3" s="3"/>
      <c r="AP3" s="17"/>
      <c r="AQ3" s="17"/>
      <c r="AR3" s="6"/>
      <c r="AS3" s="6"/>
      <c r="AT3" s="6"/>
      <c r="AU3" s="7"/>
    </row>
    <row r="4" spans="1:50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G4" s="14">
        <v>1</v>
      </c>
      <c r="H4" s="17">
        <v>2.2562000000000002</v>
      </c>
      <c r="I4" s="6">
        <v>-0.68038551386501267</v>
      </c>
      <c r="J4" s="4">
        <f t="shared" ref="J4:J62" si="0">IFERROR(I4/H4,0)</f>
        <v>-0.30156258924962887</v>
      </c>
      <c r="K4" s="3">
        <v>146829.27569325062</v>
      </c>
      <c r="L4" s="17">
        <v>2</v>
      </c>
      <c r="M4" s="17">
        <f t="shared" ref="M4:M64" si="1">IFERROR(G4/T4*100000,0)</f>
        <v>33333.333333333328</v>
      </c>
      <c r="N4" s="4">
        <f t="shared" ref="N4:N64" si="2">IFERROR(R4/T4,0)</f>
        <v>0.33333333333333331</v>
      </c>
      <c r="O4" s="3" t="s">
        <v>134</v>
      </c>
      <c r="P4" s="6">
        <v>0</v>
      </c>
      <c r="Q4" s="7">
        <v>1.1281000000000001</v>
      </c>
      <c r="R4" s="30">
        <v>1</v>
      </c>
      <c r="S4" s="30">
        <v>2</v>
      </c>
      <c r="T4" s="30">
        <f t="shared" ref="T4:T64" si="3">R4+S4</f>
        <v>3</v>
      </c>
      <c r="V4" s="14">
        <v>2</v>
      </c>
      <c r="W4" s="17">
        <v>7.25</v>
      </c>
      <c r="X4" s="6">
        <v>-0.68038551386501267</v>
      </c>
      <c r="Y4" s="4">
        <f t="shared" ref="Y4:Y64" si="4">IFERROR(X4/W4,0)</f>
        <v>-9.384627777448451E-2</v>
      </c>
      <c r="Z4" s="3"/>
      <c r="AA4" s="17"/>
      <c r="AB4" s="17"/>
      <c r="AC4" s="6"/>
      <c r="AD4" s="3"/>
      <c r="AE4" s="3"/>
      <c r="AF4" s="7"/>
      <c r="AG4" s="30"/>
      <c r="AH4" s="30"/>
      <c r="AI4" s="30"/>
      <c r="AK4" s="14">
        <v>2</v>
      </c>
      <c r="AL4" s="17">
        <v>1.02</v>
      </c>
      <c r="AM4" s="3"/>
      <c r="AN4" s="4"/>
      <c r="AO4" s="3"/>
      <c r="AP4" s="17"/>
      <c r="AQ4" s="17"/>
      <c r="AR4" s="6"/>
      <c r="AS4" s="3"/>
      <c r="AT4" s="3"/>
      <c r="AU4" s="7"/>
    </row>
    <row r="5" spans="1:50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G5" s="14">
        <v>8</v>
      </c>
      <c r="H5" s="17">
        <v>9.3010766</v>
      </c>
      <c r="I5" s="6">
        <v>4.1045349499215193</v>
      </c>
      <c r="J5" s="4">
        <f t="shared" si="0"/>
        <v>0.44129675804643081</v>
      </c>
      <c r="K5" s="3">
        <v>102698.51877625457</v>
      </c>
      <c r="L5" s="17">
        <v>5.0599999999999996</v>
      </c>
      <c r="M5" s="17">
        <f t="shared" si="1"/>
        <v>40000</v>
      </c>
      <c r="N5" s="4">
        <f t="shared" si="2"/>
        <v>0.45</v>
      </c>
      <c r="O5" s="3">
        <v>2.25</v>
      </c>
      <c r="P5" s="6">
        <v>0</v>
      </c>
      <c r="Q5" s="7">
        <v>1.8381581027667986</v>
      </c>
      <c r="R5" s="30">
        <v>9</v>
      </c>
      <c r="S5" s="30">
        <v>11</v>
      </c>
      <c r="T5" s="30">
        <f t="shared" si="3"/>
        <v>20</v>
      </c>
      <c r="V5" s="14">
        <v>8</v>
      </c>
      <c r="W5" s="17">
        <v>9.4535999999999998</v>
      </c>
      <c r="X5" s="6">
        <v>4.1045349499215193</v>
      </c>
      <c r="Y5" s="4">
        <f t="shared" si="4"/>
        <v>0.43417692201082331</v>
      </c>
      <c r="Z5" s="3"/>
      <c r="AA5" s="17"/>
      <c r="AB5" s="17"/>
      <c r="AC5" s="6"/>
      <c r="AD5" s="3"/>
      <c r="AE5" s="3"/>
      <c r="AF5" s="7"/>
      <c r="AG5" s="30"/>
      <c r="AH5" s="30"/>
      <c r="AI5" s="30"/>
      <c r="AK5" s="14">
        <v>8</v>
      </c>
      <c r="AL5" s="17">
        <v>5.5</v>
      </c>
      <c r="AM5" s="3"/>
      <c r="AN5" s="4"/>
      <c r="AO5" s="3"/>
      <c r="AP5" s="17"/>
      <c r="AQ5" s="17"/>
      <c r="AR5" s="6"/>
      <c r="AS5" s="3"/>
      <c r="AT5" s="3"/>
      <c r="AU5" s="7"/>
    </row>
    <row r="6" spans="1:50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G6" s="14">
        <v>20</v>
      </c>
      <c r="H6" s="17">
        <v>26.5</v>
      </c>
      <c r="I6" s="6">
        <v>9.2139803283130277</v>
      </c>
      <c r="J6" s="4">
        <f t="shared" si="0"/>
        <v>0.3476973708797369</v>
      </c>
      <c r="K6" s="3">
        <v>109752.50585198078</v>
      </c>
      <c r="L6" s="17">
        <v>15.75</v>
      </c>
      <c r="M6" s="17">
        <f t="shared" si="1"/>
        <v>76923.076923076922</v>
      </c>
      <c r="N6" s="4">
        <f t="shared" si="2"/>
        <v>0.61538461538461542</v>
      </c>
      <c r="O6" s="3">
        <v>1.5458937198067633</v>
      </c>
      <c r="P6" s="6">
        <v>26.5</v>
      </c>
      <c r="Q6" s="7">
        <v>1.6825396825396826</v>
      </c>
      <c r="R6" s="30">
        <v>16</v>
      </c>
      <c r="S6" s="30">
        <v>10</v>
      </c>
      <c r="T6" s="30">
        <f t="shared" si="3"/>
        <v>26</v>
      </c>
      <c r="V6" s="14">
        <v>17</v>
      </c>
      <c r="W6" s="17">
        <v>17</v>
      </c>
      <c r="X6" s="6">
        <v>9.2139803283130277</v>
      </c>
      <c r="Y6" s="4">
        <f t="shared" si="4"/>
        <v>0.54199884284194277</v>
      </c>
      <c r="Z6" s="3"/>
      <c r="AA6" s="17"/>
      <c r="AB6" s="17"/>
      <c r="AC6" s="6"/>
      <c r="AD6" s="3"/>
      <c r="AE6" s="3"/>
      <c r="AF6" s="7"/>
      <c r="AG6" s="30"/>
      <c r="AH6" s="30"/>
      <c r="AI6" s="30"/>
      <c r="AK6" s="14">
        <v>19</v>
      </c>
      <c r="AL6" s="17">
        <v>35.9</v>
      </c>
      <c r="AM6" s="3"/>
      <c r="AN6" s="4"/>
      <c r="AO6" s="3"/>
      <c r="AP6" s="17"/>
      <c r="AQ6" s="17"/>
      <c r="AR6" s="6"/>
      <c r="AS6" s="3"/>
      <c r="AT6" s="3"/>
      <c r="AU6" s="7"/>
    </row>
    <row r="7" spans="1:50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G7" s="14">
        <v>8.6999999999999993</v>
      </c>
      <c r="H7" s="17">
        <v>6.1185</v>
      </c>
      <c r="I7" s="6">
        <v>-3.4272042985275428</v>
      </c>
      <c r="J7" s="4">
        <f t="shared" si="0"/>
        <v>-0.56013799109708962</v>
      </c>
      <c r="K7" s="3">
        <v>136367.2042646792</v>
      </c>
      <c r="L7" s="17">
        <v>7</v>
      </c>
      <c r="M7" s="17">
        <f t="shared" si="1"/>
        <v>86999.999999999985</v>
      </c>
      <c r="N7" s="4">
        <f t="shared" si="2"/>
        <v>0.9</v>
      </c>
      <c r="O7" s="3">
        <v>1.5</v>
      </c>
      <c r="P7" s="6">
        <v>0</v>
      </c>
      <c r="Q7" s="7">
        <v>0.8740714285714285</v>
      </c>
      <c r="R7" s="30">
        <v>9</v>
      </c>
      <c r="S7" s="30">
        <v>1</v>
      </c>
      <c r="T7" s="30">
        <f t="shared" si="3"/>
        <v>10</v>
      </c>
      <c r="V7" s="14">
        <v>9.6</v>
      </c>
      <c r="W7" s="17">
        <v>6.07</v>
      </c>
      <c r="X7" s="6">
        <v>-3.4272042985275428</v>
      </c>
      <c r="Y7" s="4">
        <f t="shared" si="4"/>
        <v>-0.56461355824176984</v>
      </c>
      <c r="Z7" s="3"/>
      <c r="AA7" s="17"/>
      <c r="AB7" s="17"/>
      <c r="AC7" s="6"/>
      <c r="AD7" s="3"/>
      <c r="AE7" s="3"/>
      <c r="AF7" s="7"/>
      <c r="AG7" s="30"/>
      <c r="AH7" s="30"/>
      <c r="AI7" s="30"/>
      <c r="AK7" s="14">
        <v>10.199999999999999</v>
      </c>
      <c r="AL7" s="17">
        <v>7</v>
      </c>
      <c r="AM7" s="3"/>
      <c r="AN7" s="4"/>
      <c r="AO7" s="3"/>
      <c r="AP7" s="17"/>
      <c r="AQ7" s="17"/>
      <c r="AR7" s="6"/>
      <c r="AS7" s="3"/>
      <c r="AT7" s="3"/>
      <c r="AU7" s="7"/>
    </row>
    <row r="8" spans="1:50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G8" s="14">
        <v>11</v>
      </c>
      <c r="H8" s="17">
        <v>13.0525</v>
      </c>
      <c r="I8" s="6">
        <v>5.066057738993945</v>
      </c>
      <c r="J8" s="4">
        <f t="shared" si="0"/>
        <v>0.38812930388768013</v>
      </c>
      <c r="K8" s="3">
        <v>90755.025693250616</v>
      </c>
      <c r="L8" s="17">
        <v>8.8000000000000007</v>
      </c>
      <c r="M8" s="17">
        <f t="shared" si="1"/>
        <v>29729.72972972973</v>
      </c>
      <c r="N8" s="4">
        <f t="shared" si="2"/>
        <v>0.6216216216216216</v>
      </c>
      <c r="O8" s="3">
        <v>2.875</v>
      </c>
      <c r="P8" s="6">
        <v>6.11</v>
      </c>
      <c r="Q8" s="7">
        <v>1.4832386363636363</v>
      </c>
      <c r="R8" s="30">
        <v>23</v>
      </c>
      <c r="S8" s="30">
        <v>14</v>
      </c>
      <c r="T8" s="30">
        <f t="shared" si="3"/>
        <v>37</v>
      </c>
      <c r="V8" s="14">
        <v>11</v>
      </c>
      <c r="W8" s="17">
        <v>14.2</v>
      </c>
      <c r="X8" s="6">
        <v>5.066057738993945</v>
      </c>
      <c r="Y8" s="4">
        <f t="shared" si="4"/>
        <v>0.35676462950661586</v>
      </c>
      <c r="Z8" s="3"/>
      <c r="AA8" s="17"/>
      <c r="AB8" s="17"/>
      <c r="AC8" s="6"/>
      <c r="AD8" s="3"/>
      <c r="AE8" s="3"/>
      <c r="AF8" s="7"/>
      <c r="AG8" s="30"/>
      <c r="AH8" s="30"/>
      <c r="AI8" s="30"/>
      <c r="AK8" s="14">
        <v>11</v>
      </c>
      <c r="AL8" s="17">
        <v>11</v>
      </c>
      <c r="AM8" s="3"/>
      <c r="AN8" s="4"/>
      <c r="AO8" s="3"/>
      <c r="AP8" s="17"/>
      <c r="AQ8" s="17"/>
      <c r="AR8" s="6"/>
      <c r="AS8" s="3"/>
      <c r="AT8" s="3"/>
      <c r="AU8" s="7"/>
    </row>
    <row r="9" spans="1:50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G9" s="14">
        <v>17.25</v>
      </c>
      <c r="H9" s="17">
        <v>6.83</v>
      </c>
      <c r="I9" s="6">
        <v>-3.1976711336796475</v>
      </c>
      <c r="J9" s="4">
        <f t="shared" si="0"/>
        <v>-0.46818025383303769</v>
      </c>
      <c r="K9" s="3">
        <v>85633.399946026024</v>
      </c>
      <c r="L9" s="17">
        <v>11.71</v>
      </c>
      <c r="M9" s="17">
        <f t="shared" si="1"/>
        <v>35937.5</v>
      </c>
      <c r="N9" s="4">
        <f t="shared" si="2"/>
        <v>0.41666666666666669</v>
      </c>
      <c r="O9" s="3">
        <v>1.8181818181818181</v>
      </c>
      <c r="P9" s="6">
        <v>0</v>
      </c>
      <c r="Q9" s="7">
        <v>0.58326216908625106</v>
      </c>
      <c r="R9" s="30">
        <v>20</v>
      </c>
      <c r="S9" s="30">
        <v>28</v>
      </c>
      <c r="T9" s="30">
        <f t="shared" si="3"/>
        <v>48</v>
      </c>
      <c r="V9" s="14">
        <v>17.25</v>
      </c>
      <c r="W9" s="17">
        <v>9.64</v>
      </c>
      <c r="X9" s="6">
        <v>-3.1976711336796475</v>
      </c>
      <c r="Y9" s="4">
        <f t="shared" si="4"/>
        <v>-0.33170862382568955</v>
      </c>
      <c r="Z9" s="3"/>
      <c r="AA9" s="17"/>
      <c r="AB9" s="17"/>
      <c r="AC9" s="6"/>
      <c r="AD9" s="3"/>
      <c r="AE9" s="3"/>
      <c r="AF9" s="7"/>
      <c r="AG9" s="30"/>
      <c r="AH9" s="30"/>
      <c r="AI9" s="30"/>
      <c r="AK9" s="14">
        <v>17.25</v>
      </c>
      <c r="AL9" s="17">
        <v>8.75</v>
      </c>
      <c r="AM9" s="3"/>
      <c r="AN9" s="4"/>
      <c r="AO9" s="3"/>
      <c r="AP9" s="17"/>
      <c r="AQ9" s="17"/>
      <c r="AR9" s="6"/>
      <c r="AS9" s="3"/>
      <c r="AT9" s="3"/>
      <c r="AU9" s="7"/>
    </row>
    <row r="10" spans="1:50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G10" s="14">
        <v>3</v>
      </c>
      <c r="H10" s="17">
        <v>2.7279200000000001</v>
      </c>
      <c r="I10" s="6">
        <v>0.18822822071903719</v>
      </c>
      <c r="J10" s="4">
        <f t="shared" si="0"/>
        <v>6.9000638112201668E-2</v>
      </c>
      <c r="K10" s="3">
        <v>123286.00870295936</v>
      </c>
      <c r="L10" s="17">
        <v>2.06</v>
      </c>
      <c r="M10" s="17">
        <f t="shared" si="1"/>
        <v>60000</v>
      </c>
      <c r="N10" s="4">
        <f t="shared" si="2"/>
        <v>0.6</v>
      </c>
      <c r="O10" s="3">
        <v>1.5</v>
      </c>
      <c r="P10" s="6">
        <v>0</v>
      </c>
      <c r="Q10" s="7">
        <v>1.324233009708738</v>
      </c>
      <c r="R10" s="30">
        <v>3</v>
      </c>
      <c r="S10" s="30">
        <v>2</v>
      </c>
      <c r="T10" s="30">
        <f t="shared" si="3"/>
        <v>5</v>
      </c>
      <c r="V10" s="14">
        <v>3</v>
      </c>
      <c r="W10" s="17">
        <v>3.9612145000000005</v>
      </c>
      <c r="X10" s="6">
        <v>0.18822822071903719</v>
      </c>
      <c r="Y10" s="4">
        <f t="shared" si="4"/>
        <v>4.7517805642445558E-2</v>
      </c>
      <c r="Z10" s="3"/>
      <c r="AA10" s="17"/>
      <c r="AB10" s="17"/>
      <c r="AC10" s="6"/>
      <c r="AD10" s="3"/>
      <c r="AE10" s="3"/>
      <c r="AF10" s="7"/>
      <c r="AG10" s="30"/>
      <c r="AH10" s="30"/>
      <c r="AI10" s="30"/>
      <c r="AK10" s="14">
        <v>4</v>
      </c>
      <c r="AL10" s="17">
        <v>4.3313845999999998</v>
      </c>
      <c r="AM10" s="3"/>
      <c r="AN10" s="4"/>
      <c r="AO10" s="3"/>
      <c r="AP10" s="17"/>
      <c r="AQ10" s="17"/>
      <c r="AR10" s="6"/>
      <c r="AS10" s="3"/>
      <c r="AT10" s="3"/>
      <c r="AU10" s="7"/>
    </row>
    <row r="11" spans="1:50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G11" s="14">
        <v>17.166666666666668</v>
      </c>
      <c r="H11" s="17">
        <v>12.79</v>
      </c>
      <c r="I11" s="6">
        <v>2.576876623252859</v>
      </c>
      <c r="J11" s="4">
        <f t="shared" si="0"/>
        <v>0.20147588923009063</v>
      </c>
      <c r="K11" s="3">
        <v>95360.629101280487</v>
      </c>
      <c r="L11" s="17">
        <v>10.71</v>
      </c>
      <c r="M11" s="17">
        <f t="shared" si="1"/>
        <v>31212.121212121212</v>
      </c>
      <c r="N11" s="4">
        <f t="shared" si="2"/>
        <v>0.47272727272727272</v>
      </c>
      <c r="O11" s="3">
        <v>2.736842105263158</v>
      </c>
      <c r="P11" s="6">
        <v>5.23</v>
      </c>
      <c r="Q11" s="7">
        <v>1.1942110177404295</v>
      </c>
      <c r="R11" s="30">
        <v>26</v>
      </c>
      <c r="S11" s="30">
        <v>29</v>
      </c>
      <c r="T11" s="30">
        <f t="shared" si="3"/>
        <v>55</v>
      </c>
      <c r="V11" s="14">
        <v>17.166666666666668</v>
      </c>
      <c r="W11" s="17">
        <v>9.2399999999999984</v>
      </c>
      <c r="X11" s="6">
        <v>2.576876623252859</v>
      </c>
      <c r="Y11" s="4">
        <f t="shared" si="4"/>
        <v>0.27888275143429214</v>
      </c>
      <c r="Z11" s="3"/>
      <c r="AA11" s="17"/>
      <c r="AB11" s="17"/>
      <c r="AC11" s="6"/>
      <c r="AD11" s="3"/>
      <c r="AE11" s="3"/>
      <c r="AF11" s="7"/>
      <c r="AG11" s="30"/>
      <c r="AH11" s="30"/>
      <c r="AI11" s="30"/>
      <c r="AK11" s="14">
        <v>17.166666666666668</v>
      </c>
      <c r="AL11" s="17">
        <v>13.3</v>
      </c>
      <c r="AM11" s="3"/>
      <c r="AN11" s="4"/>
      <c r="AO11" s="3"/>
      <c r="AP11" s="17"/>
      <c r="AQ11" s="17"/>
      <c r="AR11" s="6"/>
      <c r="AS11" s="3"/>
      <c r="AT11" s="3"/>
      <c r="AU11" s="7"/>
    </row>
    <row r="12" spans="1:50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G12" s="14">
        <v>113.10139199999999</v>
      </c>
      <c r="H12" s="17">
        <v>181.56917999999999</v>
      </c>
      <c r="I12" s="6">
        <v>109.71782602287166</v>
      </c>
      <c r="J12" s="4">
        <f t="shared" si="0"/>
        <v>0.60427560460906238</v>
      </c>
      <c r="K12" s="3">
        <v>132079.69481089769</v>
      </c>
      <c r="L12" s="17">
        <v>54.4</v>
      </c>
      <c r="M12" s="17">
        <f t="shared" si="1"/>
        <v>34169.604833836856</v>
      </c>
      <c r="N12" s="4">
        <f t="shared" si="2"/>
        <v>0.81873111782477337</v>
      </c>
      <c r="O12" s="3">
        <v>7.2459893048128343</v>
      </c>
      <c r="P12" s="6">
        <v>0</v>
      </c>
      <c r="Q12" s="7">
        <v>3.3376687500000002</v>
      </c>
      <c r="R12" s="30">
        <v>271</v>
      </c>
      <c r="S12" s="30">
        <v>60</v>
      </c>
      <c r="T12" s="30">
        <f t="shared" si="3"/>
        <v>331</v>
      </c>
      <c r="V12" s="14">
        <v>113.10139199999999</v>
      </c>
      <c r="W12" s="17">
        <v>145</v>
      </c>
      <c r="X12" s="6">
        <v>109.71782602287166</v>
      </c>
      <c r="Y12" s="4">
        <f t="shared" si="4"/>
        <v>0.7566746622267011</v>
      </c>
      <c r="Z12" s="3"/>
      <c r="AA12" s="17"/>
      <c r="AB12" s="17"/>
      <c r="AC12" s="6"/>
      <c r="AD12" s="3"/>
      <c r="AE12" s="3"/>
      <c r="AF12" s="7"/>
      <c r="AG12" s="30"/>
      <c r="AH12" s="30"/>
      <c r="AI12" s="30"/>
      <c r="AK12" s="14">
        <v>103.101392</v>
      </c>
      <c r="AL12" s="17">
        <f>115.71541+9</f>
        <v>124.71541000000001</v>
      </c>
      <c r="AM12" s="3"/>
      <c r="AN12" s="4"/>
      <c r="AO12" s="3"/>
      <c r="AP12" s="17"/>
      <c r="AQ12" s="17"/>
      <c r="AR12" s="6"/>
      <c r="AS12" s="3"/>
      <c r="AT12" s="3"/>
      <c r="AU12" s="7"/>
    </row>
    <row r="13" spans="1:50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G13" s="14">
        <v>9</v>
      </c>
      <c r="H13" s="17">
        <v>3.7850000000000001</v>
      </c>
      <c r="I13" s="6">
        <v>-0.78399265133581331</v>
      </c>
      <c r="J13" s="4">
        <f t="shared" si="0"/>
        <v>-0.2071314798773615</v>
      </c>
      <c r="K13" s="3">
        <v>195256.09621093221</v>
      </c>
      <c r="L13" s="17">
        <v>2.34</v>
      </c>
      <c r="M13" s="17">
        <f t="shared" si="1"/>
        <v>225000</v>
      </c>
      <c r="N13" s="4">
        <f t="shared" si="2"/>
        <v>1</v>
      </c>
      <c r="O13" s="3">
        <v>4</v>
      </c>
      <c r="P13" s="6">
        <v>3.78</v>
      </c>
      <c r="Q13" s="7">
        <v>1.6175213675213675</v>
      </c>
      <c r="R13" s="30">
        <v>4</v>
      </c>
      <c r="S13" s="30">
        <v>0</v>
      </c>
      <c r="T13" s="30">
        <f t="shared" si="3"/>
        <v>4</v>
      </c>
      <c r="V13" s="14">
        <v>9</v>
      </c>
      <c r="W13" s="17">
        <v>2.6549999999999998</v>
      </c>
      <c r="X13" s="6">
        <v>-0.78399265133581331</v>
      </c>
      <c r="Y13" s="4">
        <f t="shared" si="4"/>
        <v>-0.29528913421311237</v>
      </c>
      <c r="Z13" s="3"/>
      <c r="AA13" s="17"/>
      <c r="AB13" s="17"/>
      <c r="AC13" s="6"/>
      <c r="AD13" s="3"/>
      <c r="AE13" s="3"/>
      <c r="AF13" s="7"/>
      <c r="AG13" s="30"/>
      <c r="AH13" s="30"/>
      <c r="AI13" s="30"/>
      <c r="AK13" s="14">
        <v>9</v>
      </c>
      <c r="AL13" s="17">
        <v>6</v>
      </c>
      <c r="AM13" s="3"/>
      <c r="AN13" s="4"/>
      <c r="AO13" s="3"/>
      <c r="AP13" s="17"/>
      <c r="AQ13" s="17"/>
      <c r="AR13" s="6"/>
      <c r="AS13" s="3"/>
      <c r="AT13" s="3"/>
      <c r="AU13" s="7"/>
    </row>
    <row r="14" spans="1:50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G14" s="14">
        <v>0</v>
      </c>
      <c r="H14" s="17">
        <v>0.9</v>
      </c>
      <c r="I14" s="6">
        <v>-3.5863128070109873</v>
      </c>
      <c r="J14" s="4">
        <f t="shared" si="0"/>
        <v>-3.9847920077899857</v>
      </c>
      <c r="K14" s="3">
        <v>74031.564472128506</v>
      </c>
      <c r="L14" s="17">
        <v>6.06</v>
      </c>
      <c r="M14" s="17">
        <f t="shared" si="1"/>
        <v>0</v>
      </c>
      <c r="N14" s="4">
        <f t="shared" si="2"/>
        <v>1</v>
      </c>
      <c r="O14" s="3">
        <v>1</v>
      </c>
      <c r="P14" s="6">
        <v>0</v>
      </c>
      <c r="Q14" s="7">
        <v>0.14851485148514851</v>
      </c>
      <c r="R14" s="30">
        <v>5</v>
      </c>
      <c r="S14" s="30">
        <v>0</v>
      </c>
      <c r="T14" s="30">
        <f t="shared" si="3"/>
        <v>5</v>
      </c>
      <c r="V14" s="14">
        <v>0</v>
      </c>
      <c r="W14" s="17">
        <v>0</v>
      </c>
      <c r="X14" s="6">
        <v>-3.5863128070109873</v>
      </c>
      <c r="Y14" s="4">
        <f t="shared" si="4"/>
        <v>0</v>
      </c>
      <c r="Z14" s="3"/>
      <c r="AA14" s="17"/>
      <c r="AB14" s="17"/>
      <c r="AC14" s="6"/>
      <c r="AD14" s="3"/>
      <c r="AE14" s="3"/>
      <c r="AF14" s="7"/>
      <c r="AG14" s="30"/>
      <c r="AH14" s="30"/>
      <c r="AI14" s="30"/>
      <c r="AK14" s="14">
        <v>0</v>
      </c>
      <c r="AL14" s="17">
        <v>0</v>
      </c>
      <c r="AM14" s="3"/>
      <c r="AN14" s="4"/>
      <c r="AO14" s="3"/>
      <c r="AP14" s="17"/>
      <c r="AQ14" s="17"/>
      <c r="AR14" s="6"/>
      <c r="AS14" s="3"/>
      <c r="AT14" s="3"/>
      <c r="AU14" s="7"/>
    </row>
    <row r="15" spans="1:50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G15" s="14">
        <v>0</v>
      </c>
      <c r="H15" s="17">
        <v>0</v>
      </c>
      <c r="I15" s="6">
        <v>0</v>
      </c>
      <c r="J15" s="4">
        <f t="shared" si="0"/>
        <v>0</v>
      </c>
      <c r="K15" s="3">
        <v>0</v>
      </c>
      <c r="L15" s="17">
        <v>0</v>
      </c>
      <c r="M15" s="17">
        <f t="shared" si="1"/>
        <v>0</v>
      </c>
      <c r="N15" s="4">
        <f t="shared" si="2"/>
        <v>0</v>
      </c>
      <c r="O15" s="3"/>
      <c r="P15" s="6">
        <v>0</v>
      </c>
      <c r="Q15" s="7"/>
      <c r="R15" s="30">
        <v>0</v>
      </c>
      <c r="S15" s="30">
        <v>0</v>
      </c>
      <c r="T15" s="30">
        <f t="shared" si="3"/>
        <v>0</v>
      </c>
      <c r="V15" s="14">
        <v>0</v>
      </c>
      <c r="W15" s="17">
        <v>0</v>
      </c>
      <c r="X15" s="6">
        <v>0</v>
      </c>
      <c r="Y15" s="4">
        <f t="shared" si="4"/>
        <v>0</v>
      </c>
      <c r="Z15" s="3"/>
      <c r="AA15" s="17"/>
      <c r="AB15" s="17"/>
      <c r="AC15" s="6"/>
      <c r="AD15" s="3"/>
      <c r="AE15" s="3"/>
      <c r="AF15" s="7"/>
      <c r="AG15" s="30"/>
      <c r="AH15" s="30"/>
      <c r="AI15" s="30"/>
      <c r="AK15" s="14">
        <v>0</v>
      </c>
      <c r="AL15" s="17">
        <v>0</v>
      </c>
      <c r="AM15" s="3"/>
      <c r="AN15" s="4"/>
      <c r="AO15" s="3"/>
      <c r="AP15" s="17"/>
      <c r="AQ15" s="17"/>
      <c r="AR15" s="6"/>
      <c r="AS15" s="3"/>
      <c r="AT15" s="3"/>
      <c r="AU15" s="7"/>
    </row>
    <row r="16" spans="1:50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G16" s="14">
        <v>3</v>
      </c>
      <c r="H16" s="17">
        <v>4.5916899999999998</v>
      </c>
      <c r="I16" s="6">
        <v>1.3254878507362287</v>
      </c>
      <c r="J16" s="4">
        <f t="shared" si="0"/>
        <v>0.28867102324769939</v>
      </c>
      <c r="K16" s="3">
        <v>93320.061407536341</v>
      </c>
      <c r="L16" s="17">
        <v>3.5</v>
      </c>
      <c r="M16" s="17">
        <f t="shared" si="1"/>
        <v>23076.923076923078</v>
      </c>
      <c r="N16" s="4">
        <f t="shared" si="2"/>
        <v>1</v>
      </c>
      <c r="O16" s="3">
        <v>6.5</v>
      </c>
      <c r="P16" s="6">
        <v>0</v>
      </c>
      <c r="Q16" s="7">
        <v>1.3119114285714286</v>
      </c>
      <c r="R16" s="30">
        <v>13</v>
      </c>
      <c r="S16" s="30">
        <v>0</v>
      </c>
      <c r="T16" s="30">
        <f t="shared" si="3"/>
        <v>13</v>
      </c>
      <c r="V16" s="14">
        <v>4</v>
      </c>
      <c r="W16" s="17">
        <v>4.6281699999999999</v>
      </c>
      <c r="X16" s="6">
        <v>1.3254878507362287</v>
      </c>
      <c r="Y16" s="4">
        <f t="shared" si="4"/>
        <v>0.28639567058604776</v>
      </c>
      <c r="Z16" s="3"/>
      <c r="AA16" s="17"/>
      <c r="AB16" s="17"/>
      <c r="AC16" s="6"/>
      <c r="AD16" s="3"/>
      <c r="AE16" s="3"/>
      <c r="AF16" s="7"/>
      <c r="AG16" s="30"/>
      <c r="AH16" s="30"/>
      <c r="AI16" s="30"/>
      <c r="AK16" s="14">
        <v>5</v>
      </c>
      <c r="AL16" s="17">
        <v>5</v>
      </c>
      <c r="AM16" s="3"/>
      <c r="AN16" s="4"/>
      <c r="AO16" s="3"/>
      <c r="AP16" s="17"/>
      <c r="AQ16" s="17"/>
      <c r="AR16" s="6"/>
      <c r="AS16" s="3"/>
      <c r="AT16" s="3"/>
      <c r="AU16" s="7"/>
    </row>
    <row r="17" spans="1:47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G17" s="14">
        <v>105</v>
      </c>
      <c r="H17" s="17">
        <v>119.60778230000001</v>
      </c>
      <c r="I17" s="6">
        <v>41.378723591075563</v>
      </c>
      <c r="J17" s="4">
        <f t="shared" si="0"/>
        <v>0.34595343877616197</v>
      </c>
      <c r="K17" s="3">
        <v>99705.654357538151</v>
      </c>
      <c r="L17" s="17">
        <v>78.460000000000008</v>
      </c>
      <c r="M17" s="17">
        <f t="shared" si="1"/>
        <v>41832.669322709167</v>
      </c>
      <c r="N17" s="4">
        <f t="shared" si="2"/>
        <v>0.55776892430278879</v>
      </c>
      <c r="O17" s="3">
        <v>2.0588235294117645</v>
      </c>
      <c r="P17" s="6">
        <v>0</v>
      </c>
      <c r="Q17" s="7">
        <v>1.5244427733877133</v>
      </c>
      <c r="R17" s="30">
        <v>140</v>
      </c>
      <c r="S17" s="30">
        <v>111</v>
      </c>
      <c r="T17" s="30">
        <f t="shared" si="3"/>
        <v>251</v>
      </c>
      <c r="V17" s="14">
        <v>100</v>
      </c>
      <c r="W17" s="17">
        <v>104.80007999999999</v>
      </c>
      <c r="X17" s="6">
        <v>41.378723591075563</v>
      </c>
      <c r="Y17" s="4">
        <f t="shared" si="4"/>
        <v>0.39483484736915814</v>
      </c>
      <c r="Z17" s="3"/>
      <c r="AA17" s="17"/>
      <c r="AB17" s="17"/>
      <c r="AC17" s="6"/>
      <c r="AD17" s="3"/>
      <c r="AE17" s="3"/>
      <c r="AF17" s="7"/>
      <c r="AG17" s="30"/>
      <c r="AH17" s="30"/>
      <c r="AI17" s="30"/>
      <c r="AK17" s="14">
        <v>100</v>
      </c>
      <c r="AL17" s="17">
        <v>140</v>
      </c>
      <c r="AM17" s="3"/>
      <c r="AN17" s="4"/>
      <c r="AO17" s="3"/>
      <c r="AP17" s="17"/>
      <c r="AQ17" s="17"/>
      <c r="AR17" s="6"/>
      <c r="AS17" s="3"/>
      <c r="AT17" s="3"/>
      <c r="AU17" s="7"/>
    </row>
    <row r="18" spans="1:47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G18" s="14">
        <v>20</v>
      </c>
      <c r="H18" s="17">
        <v>6.1910834999999995</v>
      </c>
      <c r="I18" s="6">
        <v>-6.0196553262575678</v>
      </c>
      <c r="J18" s="4">
        <f t="shared" si="0"/>
        <v>-0.97231047299839657</v>
      </c>
      <c r="K18" s="3">
        <v>111006.6847841597</v>
      </c>
      <c r="L18" s="17">
        <v>11</v>
      </c>
      <c r="M18" s="17">
        <f t="shared" si="1"/>
        <v>222222.22222222222</v>
      </c>
      <c r="N18" s="4">
        <f t="shared" si="2"/>
        <v>0.22222222222222221</v>
      </c>
      <c r="O18" s="3">
        <v>0.5</v>
      </c>
      <c r="P18" s="6">
        <v>0</v>
      </c>
      <c r="Q18" s="7">
        <v>0.56282545454545452</v>
      </c>
      <c r="R18" s="30">
        <v>2</v>
      </c>
      <c r="S18" s="30">
        <v>7</v>
      </c>
      <c r="T18" s="30">
        <f t="shared" si="3"/>
        <v>9</v>
      </c>
      <c r="V18" s="14">
        <v>20</v>
      </c>
      <c r="W18" s="17">
        <v>14.42394</v>
      </c>
      <c r="X18" s="6">
        <v>-6.0196553262575678</v>
      </c>
      <c r="Y18" s="4">
        <f t="shared" si="4"/>
        <v>-0.41733779579349106</v>
      </c>
      <c r="Z18" s="3"/>
      <c r="AA18" s="17"/>
      <c r="AB18" s="17"/>
      <c r="AC18" s="6"/>
      <c r="AD18" s="3"/>
      <c r="AE18" s="3"/>
      <c r="AF18" s="7"/>
      <c r="AG18" s="30"/>
      <c r="AH18" s="30"/>
      <c r="AI18" s="30"/>
      <c r="AK18" s="14">
        <v>30</v>
      </c>
      <c r="AL18" s="17">
        <v>45</v>
      </c>
      <c r="AM18" s="3"/>
      <c r="AN18" s="4"/>
      <c r="AO18" s="3"/>
      <c r="AP18" s="17"/>
      <c r="AQ18" s="17"/>
      <c r="AR18" s="6"/>
      <c r="AS18" s="3"/>
      <c r="AT18" s="3"/>
      <c r="AU18" s="7"/>
    </row>
    <row r="19" spans="1:47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G19" s="14">
        <v>40</v>
      </c>
      <c r="H19" s="17">
        <v>39.987499999999997</v>
      </c>
      <c r="I19" s="6">
        <v>18.900071366249581</v>
      </c>
      <c r="J19" s="4">
        <f t="shared" si="0"/>
        <v>0.47264948712096483</v>
      </c>
      <c r="K19" s="3">
        <v>122601.32926599082</v>
      </c>
      <c r="L19" s="17">
        <v>17.2</v>
      </c>
      <c r="M19" s="17">
        <f t="shared" si="1"/>
        <v>64516.129032258061</v>
      </c>
      <c r="N19" s="4">
        <f t="shared" si="2"/>
        <v>1</v>
      </c>
      <c r="O19" s="3">
        <v>4.1333333333333337</v>
      </c>
      <c r="P19" s="6">
        <v>0</v>
      </c>
      <c r="Q19" s="7">
        <v>2.324854651162791</v>
      </c>
      <c r="R19" s="30">
        <v>62</v>
      </c>
      <c r="S19" s="30">
        <v>0</v>
      </c>
      <c r="T19" s="30">
        <f t="shared" si="3"/>
        <v>62</v>
      </c>
      <c r="V19" s="14">
        <v>60</v>
      </c>
      <c r="W19" s="17">
        <v>35</v>
      </c>
      <c r="X19" s="6">
        <v>18.900071366249581</v>
      </c>
      <c r="Y19" s="4">
        <f t="shared" si="4"/>
        <v>0.54000203903570232</v>
      </c>
      <c r="Z19" s="3"/>
      <c r="AA19" s="17"/>
      <c r="AB19" s="17"/>
      <c r="AC19" s="6"/>
      <c r="AD19" s="3"/>
      <c r="AE19" s="3"/>
      <c r="AF19" s="7"/>
      <c r="AG19" s="30"/>
      <c r="AH19" s="30"/>
      <c r="AI19" s="30"/>
      <c r="AK19" s="14">
        <v>50</v>
      </c>
      <c r="AL19" s="17">
        <v>23</v>
      </c>
      <c r="AM19" s="3"/>
      <c r="AN19" s="4"/>
      <c r="AO19" s="3"/>
      <c r="AP19" s="17"/>
      <c r="AQ19" s="17"/>
      <c r="AR19" s="6"/>
      <c r="AS19" s="3"/>
      <c r="AT19" s="3"/>
      <c r="AU19" s="7"/>
    </row>
    <row r="20" spans="1:47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G20" s="14">
        <v>6.703333333333334</v>
      </c>
      <c r="H20" s="17">
        <v>6.9908000000000001</v>
      </c>
      <c r="I20" s="6">
        <v>2.5863520433141494</v>
      </c>
      <c r="J20" s="4">
        <f t="shared" si="0"/>
        <v>0.36996510318048709</v>
      </c>
      <c r="K20" s="3">
        <v>104618.71631082782</v>
      </c>
      <c r="L20" s="17">
        <v>4.21</v>
      </c>
      <c r="M20" s="17">
        <f t="shared" si="1"/>
        <v>27930.555555555558</v>
      </c>
      <c r="N20" s="4">
        <f t="shared" si="2"/>
        <v>0.33333333333333331</v>
      </c>
      <c r="O20" s="3">
        <v>2.2857142857142856</v>
      </c>
      <c r="P20" s="6">
        <v>0</v>
      </c>
      <c r="Q20" s="7">
        <v>1.660522565320665</v>
      </c>
      <c r="R20" s="30">
        <v>8</v>
      </c>
      <c r="S20" s="30">
        <v>16</v>
      </c>
      <c r="T20" s="30">
        <f t="shared" si="3"/>
        <v>24</v>
      </c>
      <c r="V20" s="14">
        <v>6.703333333333334</v>
      </c>
      <c r="W20" s="17">
        <v>17.080000000000002</v>
      </c>
      <c r="X20" s="6">
        <v>2.5863520433141494</v>
      </c>
      <c r="Y20" s="4">
        <f t="shared" si="4"/>
        <v>0.15142576366007898</v>
      </c>
      <c r="Z20" s="3"/>
      <c r="AA20" s="17"/>
      <c r="AB20" s="17"/>
      <c r="AC20" s="6"/>
      <c r="AD20" s="3"/>
      <c r="AE20" s="3"/>
      <c r="AF20" s="7"/>
      <c r="AG20" s="30"/>
      <c r="AH20" s="30"/>
      <c r="AI20" s="30"/>
      <c r="AK20" s="14">
        <v>6.703333333333334</v>
      </c>
      <c r="AL20" s="17">
        <v>6.44</v>
      </c>
      <c r="AM20" s="3"/>
      <c r="AN20" s="4"/>
      <c r="AO20" s="3"/>
      <c r="AP20" s="17"/>
      <c r="AQ20" s="17"/>
      <c r="AR20" s="6"/>
      <c r="AS20" s="3"/>
      <c r="AT20" s="3"/>
      <c r="AU20" s="7"/>
    </row>
    <row r="21" spans="1:47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G21" s="14">
        <v>30</v>
      </c>
      <c r="H21" s="17">
        <v>26.27983</v>
      </c>
      <c r="I21" s="6">
        <v>-9.0498831781149569</v>
      </c>
      <c r="J21" s="4">
        <f t="shared" si="0"/>
        <v>-0.34436612330121452</v>
      </c>
      <c r="K21" s="3">
        <v>85008.934499795359</v>
      </c>
      <c r="L21" s="17">
        <v>41.56</v>
      </c>
      <c r="M21" s="17">
        <f t="shared" si="1"/>
        <v>71428.571428571435</v>
      </c>
      <c r="N21" s="4">
        <f t="shared" si="2"/>
        <v>0.76190476190476186</v>
      </c>
      <c r="O21" s="3">
        <v>0.90140845070422537</v>
      </c>
      <c r="P21" s="6">
        <v>26.27</v>
      </c>
      <c r="Q21" s="7">
        <v>0.63233469682386911</v>
      </c>
      <c r="R21" s="30">
        <v>32</v>
      </c>
      <c r="S21" s="30">
        <v>10</v>
      </c>
      <c r="T21" s="30">
        <f t="shared" si="3"/>
        <v>42</v>
      </c>
      <c r="V21" s="14">
        <v>30</v>
      </c>
      <c r="W21" s="17">
        <v>34.483152750000002</v>
      </c>
      <c r="X21" s="6">
        <v>-9.0498831781149569</v>
      </c>
      <c r="Y21" s="4">
        <f t="shared" si="4"/>
        <v>-0.26244361250045378</v>
      </c>
      <c r="Z21" s="3"/>
      <c r="AA21" s="17"/>
      <c r="AB21" s="17"/>
      <c r="AC21" s="6"/>
      <c r="AD21" s="3"/>
      <c r="AE21" s="3"/>
      <c r="AF21" s="7"/>
      <c r="AG21" s="30"/>
      <c r="AH21" s="30"/>
      <c r="AI21" s="30"/>
      <c r="AK21" s="14">
        <v>30</v>
      </c>
      <c r="AL21" s="17">
        <v>52.88</v>
      </c>
      <c r="AM21" s="3"/>
      <c r="AN21" s="4"/>
      <c r="AO21" s="3"/>
      <c r="AP21" s="17"/>
      <c r="AQ21" s="17"/>
      <c r="AR21" s="6"/>
      <c r="AS21" s="3"/>
      <c r="AT21" s="3"/>
      <c r="AU21" s="7"/>
    </row>
    <row r="22" spans="1:47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G22" s="14">
        <v>5</v>
      </c>
      <c r="H22" s="17">
        <v>0.1</v>
      </c>
      <c r="I22" s="6">
        <v>0.1</v>
      </c>
      <c r="J22" s="4">
        <f t="shared" si="0"/>
        <v>1</v>
      </c>
      <c r="K22" s="3">
        <v>0</v>
      </c>
      <c r="L22" s="17">
        <v>0</v>
      </c>
      <c r="M22" s="17">
        <f t="shared" si="1"/>
        <v>0</v>
      </c>
      <c r="N22" s="4">
        <f t="shared" si="2"/>
        <v>0</v>
      </c>
      <c r="O22" s="3"/>
      <c r="P22" s="6">
        <v>0.1</v>
      </c>
      <c r="Q22" s="7"/>
      <c r="R22" s="30">
        <v>0</v>
      </c>
      <c r="S22" s="30">
        <v>0</v>
      </c>
      <c r="T22" s="30">
        <f t="shared" si="3"/>
        <v>0</v>
      </c>
      <c r="V22" s="14">
        <v>5</v>
      </c>
      <c r="W22" s="17">
        <v>0</v>
      </c>
      <c r="X22" s="6">
        <v>0.1</v>
      </c>
      <c r="Y22" s="4">
        <f t="shared" si="4"/>
        <v>0</v>
      </c>
      <c r="Z22" s="3"/>
      <c r="AA22" s="17"/>
      <c r="AB22" s="17"/>
      <c r="AC22" s="6"/>
      <c r="AD22" s="3"/>
      <c r="AE22" s="3"/>
      <c r="AF22" s="7"/>
      <c r="AG22" s="30"/>
      <c r="AH22" s="30"/>
      <c r="AI22" s="30"/>
      <c r="AK22" s="14">
        <v>5</v>
      </c>
      <c r="AL22" s="17">
        <v>2.16</v>
      </c>
      <c r="AM22" s="3"/>
      <c r="AN22" s="4"/>
      <c r="AO22" s="3"/>
      <c r="AP22" s="17"/>
      <c r="AQ22" s="17"/>
      <c r="AR22" s="6"/>
      <c r="AS22" s="3"/>
      <c r="AT22" s="3"/>
      <c r="AU22" s="7"/>
    </row>
    <row r="23" spans="1:47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G23" s="14">
        <v>1.3333333333333333</v>
      </c>
      <c r="H23" s="17">
        <v>0.68445</v>
      </c>
      <c r="I23" s="6">
        <v>-1.7129355138650124</v>
      </c>
      <c r="J23" s="4">
        <f t="shared" si="0"/>
        <v>-2.5026452098254253</v>
      </c>
      <c r="K23" s="3">
        <v>119869.27569325062</v>
      </c>
      <c r="L23" s="17">
        <v>2</v>
      </c>
      <c r="M23" s="17">
        <f t="shared" si="1"/>
        <v>133333.33333333331</v>
      </c>
      <c r="N23" s="4">
        <f t="shared" si="2"/>
        <v>1</v>
      </c>
      <c r="O23" s="3">
        <v>1</v>
      </c>
      <c r="P23" s="6">
        <v>0.68</v>
      </c>
      <c r="Q23" s="7">
        <v>0.342225</v>
      </c>
      <c r="R23" s="30">
        <v>1</v>
      </c>
      <c r="S23" s="30">
        <v>0</v>
      </c>
      <c r="T23" s="30">
        <f t="shared" si="3"/>
        <v>1</v>
      </c>
      <c r="V23" s="14">
        <v>1.3333333333333333</v>
      </c>
      <c r="W23" s="17">
        <v>1.7064900000000001</v>
      </c>
      <c r="X23" s="6">
        <v>-1.7129355138650124</v>
      </c>
      <c r="Y23" s="4">
        <f t="shared" si="4"/>
        <v>-1.0037770592649311</v>
      </c>
      <c r="Z23" s="3"/>
      <c r="AA23" s="17"/>
      <c r="AB23" s="17"/>
      <c r="AC23" s="6"/>
      <c r="AD23" s="3"/>
      <c r="AE23" s="3"/>
      <c r="AF23" s="7"/>
      <c r="AG23" s="30"/>
      <c r="AH23" s="30"/>
      <c r="AI23" s="30"/>
      <c r="AK23" s="14">
        <v>1.3333333333333333</v>
      </c>
      <c r="AL23" s="17">
        <v>1</v>
      </c>
      <c r="AM23" s="3"/>
      <c r="AN23" s="4"/>
      <c r="AO23" s="3"/>
      <c r="AP23" s="17"/>
      <c r="AQ23" s="17"/>
      <c r="AR23" s="6"/>
      <c r="AS23" s="3"/>
      <c r="AT23" s="3"/>
      <c r="AU23" s="7"/>
    </row>
    <row r="24" spans="1:47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G24" s="14">
        <v>10</v>
      </c>
      <c r="H24" s="17">
        <v>1.6505700000000001</v>
      </c>
      <c r="I24" s="6">
        <v>-4.5108021609739595</v>
      </c>
      <c r="J24" s="4">
        <f t="shared" si="0"/>
        <v>-2.7328754072677675</v>
      </c>
      <c r="K24" s="3">
        <v>123227.4432194792</v>
      </c>
      <c r="L24" s="17">
        <v>5</v>
      </c>
      <c r="M24" s="17">
        <f t="shared" si="1"/>
        <v>166666.66666666669</v>
      </c>
      <c r="N24" s="4">
        <f t="shared" si="2"/>
        <v>1</v>
      </c>
      <c r="O24" s="3">
        <v>2</v>
      </c>
      <c r="P24" s="6">
        <v>0</v>
      </c>
      <c r="Q24" s="7">
        <v>0.33011400000000002</v>
      </c>
      <c r="R24" s="30">
        <v>6</v>
      </c>
      <c r="S24" s="30">
        <v>0</v>
      </c>
      <c r="T24" s="30">
        <f t="shared" si="3"/>
        <v>6</v>
      </c>
      <c r="V24" s="14">
        <v>11</v>
      </c>
      <c r="W24" s="17">
        <v>2.4</v>
      </c>
      <c r="X24" s="6">
        <v>-4.5108021609739595</v>
      </c>
      <c r="Y24" s="4">
        <f t="shared" si="4"/>
        <v>-1.8795009004058165</v>
      </c>
      <c r="Z24" s="3"/>
      <c r="AA24" s="17"/>
      <c r="AB24" s="17"/>
      <c r="AC24" s="6"/>
      <c r="AD24" s="3"/>
      <c r="AE24" s="3"/>
      <c r="AF24" s="7"/>
      <c r="AG24" s="30"/>
      <c r="AH24" s="30"/>
      <c r="AI24" s="30"/>
      <c r="AK24" s="14">
        <v>11</v>
      </c>
      <c r="AL24" s="17">
        <v>4.8499999999999996</v>
      </c>
      <c r="AM24" s="3"/>
      <c r="AN24" s="4"/>
      <c r="AO24" s="3"/>
      <c r="AP24" s="17"/>
      <c r="AQ24" s="17"/>
      <c r="AR24" s="6"/>
      <c r="AS24" s="3"/>
      <c r="AT24" s="3"/>
      <c r="AU24" s="7"/>
    </row>
    <row r="25" spans="1:47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G25" s="14">
        <v>7</v>
      </c>
      <c r="H25" s="17">
        <v>10.015700000000001</v>
      </c>
      <c r="I25" s="6">
        <v>4.43916494992152</v>
      </c>
      <c r="J25" s="4">
        <f t="shared" si="0"/>
        <v>0.44322063858956634</v>
      </c>
      <c r="K25" s="3">
        <v>110208.20257072098</v>
      </c>
      <c r="L25" s="17">
        <v>5.0599999999999996</v>
      </c>
      <c r="M25" s="17">
        <f t="shared" si="1"/>
        <v>50000</v>
      </c>
      <c r="N25" s="4">
        <f t="shared" si="2"/>
        <v>0.7857142857142857</v>
      </c>
      <c r="O25" s="3">
        <v>2.75</v>
      </c>
      <c r="P25" s="6">
        <v>0</v>
      </c>
      <c r="Q25" s="7">
        <v>1.9793873517786562</v>
      </c>
      <c r="R25" s="30">
        <v>11</v>
      </c>
      <c r="S25" s="30">
        <v>3</v>
      </c>
      <c r="T25" s="30">
        <f t="shared" si="3"/>
        <v>14</v>
      </c>
      <c r="V25" s="14">
        <v>7</v>
      </c>
      <c r="W25" s="17">
        <v>8.8180899999999998</v>
      </c>
      <c r="X25" s="6">
        <v>4.43916494992152</v>
      </c>
      <c r="Y25" s="4">
        <f t="shared" si="4"/>
        <v>0.50341569998962588</v>
      </c>
      <c r="Z25" s="3"/>
      <c r="AA25" s="17"/>
      <c r="AB25" s="17"/>
      <c r="AC25" s="6"/>
      <c r="AD25" s="3"/>
      <c r="AE25" s="3"/>
      <c r="AF25" s="7"/>
      <c r="AG25" s="30"/>
      <c r="AH25" s="30"/>
      <c r="AI25" s="30"/>
      <c r="AK25" s="14">
        <v>7</v>
      </c>
      <c r="AL25" s="17">
        <v>9.74</v>
      </c>
      <c r="AM25" s="3"/>
      <c r="AN25" s="4"/>
      <c r="AO25" s="3"/>
      <c r="AP25" s="17"/>
      <c r="AQ25" s="17"/>
      <c r="AR25" s="6"/>
      <c r="AS25" s="3"/>
      <c r="AT25" s="3"/>
      <c r="AU25" s="7"/>
    </row>
    <row r="26" spans="1:47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G26" s="14">
        <v>16</v>
      </c>
      <c r="H26" s="17">
        <v>24.223479999999999</v>
      </c>
      <c r="I26" s="6">
        <v>5.1380784314971217</v>
      </c>
      <c r="J26" s="4">
        <f t="shared" si="0"/>
        <v>0.21211148982297845</v>
      </c>
      <c r="K26" s="3">
        <v>92200.007577308585</v>
      </c>
      <c r="L26" s="17">
        <v>20.7</v>
      </c>
      <c r="M26" s="17">
        <f t="shared" si="1"/>
        <v>72727.272727272735</v>
      </c>
      <c r="N26" s="4">
        <f t="shared" si="2"/>
        <v>0.68181818181818177</v>
      </c>
      <c r="O26" s="3">
        <v>0.82417582417582425</v>
      </c>
      <c r="P26" s="6">
        <v>24.22</v>
      </c>
      <c r="Q26" s="7">
        <v>1.170216425120773</v>
      </c>
      <c r="R26" s="30">
        <v>15</v>
      </c>
      <c r="S26" s="30">
        <v>7</v>
      </c>
      <c r="T26" s="30">
        <f t="shared" si="3"/>
        <v>22</v>
      </c>
      <c r="V26" s="14">
        <v>16</v>
      </c>
      <c r="W26" s="17">
        <v>33.829000000000001</v>
      </c>
      <c r="X26" s="6">
        <v>5.1380784314971217</v>
      </c>
      <c r="Y26" s="4">
        <f t="shared" si="4"/>
        <v>0.15188384024053686</v>
      </c>
      <c r="Z26" s="3"/>
      <c r="AA26" s="17"/>
      <c r="AB26" s="17"/>
      <c r="AC26" s="6"/>
      <c r="AD26" s="3"/>
      <c r="AE26" s="3"/>
      <c r="AF26" s="7"/>
      <c r="AG26" s="30"/>
      <c r="AH26" s="30"/>
      <c r="AI26" s="30"/>
      <c r="AK26" s="14">
        <v>16</v>
      </c>
      <c r="AL26" s="17">
        <v>18</v>
      </c>
      <c r="AM26" s="3"/>
      <c r="AN26" s="4"/>
      <c r="AO26" s="3"/>
      <c r="AP26" s="17"/>
      <c r="AQ26" s="17"/>
      <c r="AR26" s="6"/>
      <c r="AS26" s="3"/>
      <c r="AT26" s="3"/>
      <c r="AU26" s="7"/>
    </row>
    <row r="27" spans="1:47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G27" s="14">
        <v>0</v>
      </c>
      <c r="H27" s="17">
        <v>0</v>
      </c>
      <c r="I27" s="6">
        <v>0</v>
      </c>
      <c r="J27" s="4">
        <f t="shared" si="0"/>
        <v>0</v>
      </c>
      <c r="K27" s="3">
        <v>0</v>
      </c>
      <c r="L27" s="17">
        <v>0</v>
      </c>
      <c r="M27" s="17">
        <f t="shared" si="1"/>
        <v>0</v>
      </c>
      <c r="N27" s="4">
        <f t="shared" si="2"/>
        <v>0</v>
      </c>
      <c r="O27" s="3"/>
      <c r="P27" s="6">
        <v>0</v>
      </c>
      <c r="Q27" s="7"/>
      <c r="R27" s="30">
        <v>0</v>
      </c>
      <c r="S27" s="30">
        <v>0</v>
      </c>
      <c r="T27" s="30">
        <f t="shared" si="3"/>
        <v>0</v>
      </c>
      <c r="V27" s="14">
        <v>15</v>
      </c>
      <c r="W27" s="17">
        <v>0</v>
      </c>
      <c r="X27" s="6">
        <v>0</v>
      </c>
      <c r="Y27" s="4">
        <f t="shared" si="4"/>
        <v>0</v>
      </c>
      <c r="Z27" s="3"/>
      <c r="AA27" s="17"/>
      <c r="AB27" s="17"/>
      <c r="AC27" s="6"/>
      <c r="AD27" s="3"/>
      <c r="AE27" s="3"/>
      <c r="AF27" s="7"/>
      <c r="AG27" s="30"/>
      <c r="AH27" s="30"/>
      <c r="AI27" s="30"/>
      <c r="AK27" s="14">
        <v>3</v>
      </c>
      <c r="AL27" s="17">
        <v>0</v>
      </c>
      <c r="AM27" s="3"/>
      <c r="AN27" s="4"/>
      <c r="AO27" s="3"/>
      <c r="AP27" s="17"/>
      <c r="AQ27" s="17"/>
      <c r="AR27" s="6"/>
      <c r="AS27" s="3"/>
      <c r="AT27" s="3"/>
      <c r="AU27" s="7"/>
    </row>
    <row r="28" spans="1:47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G28" s="14">
        <v>12</v>
      </c>
      <c r="H28" s="17">
        <v>10.29</v>
      </c>
      <c r="I28" s="6">
        <v>-0.69067971858883337</v>
      </c>
      <c r="J28" s="4">
        <f t="shared" si="0"/>
        <v>-6.7121449814269527E-2</v>
      </c>
      <c r="K28" s="3">
        <v>81338.3682858432</v>
      </c>
      <c r="L28" s="17">
        <v>13.5</v>
      </c>
      <c r="M28" s="17">
        <f t="shared" si="1"/>
        <v>36363.636363636368</v>
      </c>
      <c r="N28" s="4">
        <f t="shared" si="2"/>
        <v>0.39393939393939392</v>
      </c>
      <c r="O28" s="3">
        <v>1.1403508771929824</v>
      </c>
      <c r="P28" s="6">
        <v>0</v>
      </c>
      <c r="Q28" s="7">
        <v>0.76222222222222213</v>
      </c>
      <c r="R28" s="30">
        <v>13</v>
      </c>
      <c r="S28" s="30">
        <v>20</v>
      </c>
      <c r="T28" s="30">
        <f t="shared" si="3"/>
        <v>33</v>
      </c>
      <c r="V28" s="14">
        <v>9</v>
      </c>
      <c r="W28" s="17">
        <v>13.3</v>
      </c>
      <c r="X28" s="6">
        <v>-0.69067971858883337</v>
      </c>
      <c r="Y28" s="4">
        <f t="shared" si="4"/>
        <v>-5.1930805908934834E-2</v>
      </c>
      <c r="Z28" s="3"/>
      <c r="AA28" s="17"/>
      <c r="AB28" s="17"/>
      <c r="AC28" s="6"/>
      <c r="AD28" s="3"/>
      <c r="AE28" s="3"/>
      <c r="AF28" s="7"/>
      <c r="AG28" s="30"/>
      <c r="AH28" s="30"/>
      <c r="AI28" s="30"/>
      <c r="AK28" s="14">
        <v>12</v>
      </c>
      <c r="AL28" s="17">
        <v>10.1</v>
      </c>
      <c r="AM28" s="3"/>
      <c r="AN28" s="4"/>
      <c r="AO28" s="3"/>
      <c r="AP28" s="17"/>
      <c r="AQ28" s="17"/>
      <c r="AR28" s="6"/>
      <c r="AS28" s="3"/>
      <c r="AT28" s="3"/>
      <c r="AU28" s="7"/>
    </row>
    <row r="29" spans="1:47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G29" s="14">
        <v>4</v>
      </c>
      <c r="H29" s="17">
        <v>5.4947099999999995</v>
      </c>
      <c r="I29" s="6">
        <v>-0.50907056394349381</v>
      </c>
      <c r="J29" s="4">
        <f t="shared" si="0"/>
        <v>-9.2647394301699978E-2</v>
      </c>
      <c r="K29" s="3">
        <v>85039.384758406421</v>
      </c>
      <c r="L29" s="17">
        <v>7.06</v>
      </c>
      <c r="M29" s="17">
        <f t="shared" si="1"/>
        <v>44444.444444444445</v>
      </c>
      <c r="N29" s="4">
        <f t="shared" si="2"/>
        <v>0.88888888888888884</v>
      </c>
      <c r="O29" s="3">
        <v>1.3333333333333333</v>
      </c>
      <c r="P29" s="6">
        <v>0</v>
      </c>
      <c r="Q29" s="7">
        <v>0.77828753541076501</v>
      </c>
      <c r="R29" s="30">
        <v>8</v>
      </c>
      <c r="S29" s="30">
        <v>1</v>
      </c>
      <c r="T29" s="30">
        <f t="shared" si="3"/>
        <v>9</v>
      </c>
      <c r="V29" s="14">
        <v>4</v>
      </c>
      <c r="W29" s="17">
        <v>6.48</v>
      </c>
      <c r="X29" s="6">
        <v>-0.50907056394349381</v>
      </c>
      <c r="Y29" s="4">
        <f t="shared" si="4"/>
        <v>-7.8560272213502133E-2</v>
      </c>
      <c r="Z29" s="3"/>
      <c r="AA29" s="17"/>
      <c r="AB29" s="17"/>
      <c r="AC29" s="6"/>
      <c r="AD29" s="3"/>
      <c r="AE29" s="3"/>
      <c r="AF29" s="7"/>
      <c r="AG29" s="30"/>
      <c r="AH29" s="30"/>
      <c r="AI29" s="30"/>
      <c r="AK29" s="14">
        <v>4</v>
      </c>
      <c r="AL29" s="17">
        <v>26.676000000000002</v>
      </c>
      <c r="AM29" s="3"/>
      <c r="AN29" s="4"/>
      <c r="AO29" s="3"/>
      <c r="AP29" s="17"/>
      <c r="AQ29" s="17"/>
      <c r="AR29" s="6"/>
      <c r="AS29" s="3"/>
      <c r="AT29" s="3"/>
      <c r="AU29" s="7"/>
    </row>
    <row r="30" spans="1:47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G30" s="14">
        <v>0</v>
      </c>
      <c r="H30" s="17">
        <v>0</v>
      </c>
      <c r="I30" s="6">
        <v>0</v>
      </c>
      <c r="J30" s="4">
        <f t="shared" si="0"/>
        <v>0</v>
      </c>
      <c r="K30" s="3">
        <v>0</v>
      </c>
      <c r="L30" s="17">
        <v>0</v>
      </c>
      <c r="M30" s="17">
        <f t="shared" si="1"/>
        <v>0</v>
      </c>
      <c r="N30" s="4">
        <f t="shared" si="2"/>
        <v>0</v>
      </c>
      <c r="O30" s="3"/>
      <c r="P30" s="6">
        <v>0</v>
      </c>
      <c r="Q30" s="7"/>
      <c r="R30" s="30">
        <v>0</v>
      </c>
      <c r="S30" s="30">
        <v>0</v>
      </c>
      <c r="T30" s="30">
        <f t="shared" si="3"/>
        <v>0</v>
      </c>
      <c r="V30" s="14">
        <v>0</v>
      </c>
      <c r="W30" s="17">
        <v>0</v>
      </c>
      <c r="X30" s="6">
        <v>0</v>
      </c>
      <c r="Y30" s="4">
        <f t="shared" si="4"/>
        <v>0</v>
      </c>
      <c r="Z30" s="3"/>
      <c r="AA30" s="17"/>
      <c r="AB30" s="17"/>
      <c r="AC30" s="6"/>
      <c r="AD30" s="3"/>
      <c r="AE30" s="3"/>
      <c r="AF30" s="7"/>
      <c r="AG30" s="30"/>
      <c r="AH30" s="30"/>
      <c r="AI30" s="30"/>
      <c r="AK30" s="14">
        <v>3</v>
      </c>
      <c r="AL30" s="17">
        <v>1.8</v>
      </c>
      <c r="AM30" s="3"/>
      <c r="AN30" s="4"/>
      <c r="AO30" s="3"/>
      <c r="AP30" s="17"/>
      <c r="AQ30" s="17"/>
      <c r="AR30" s="6"/>
      <c r="AS30" s="3"/>
      <c r="AT30" s="3"/>
      <c r="AU30" s="7"/>
    </row>
    <row r="31" spans="1:47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G31" s="14">
        <v>35</v>
      </c>
      <c r="H31" s="17">
        <v>26.5</v>
      </c>
      <c r="I31" s="6">
        <v>-1.8190944930488069</v>
      </c>
      <c r="J31" s="4">
        <f t="shared" si="0"/>
        <v>-6.8645075209388937E-2</v>
      </c>
      <c r="K31" s="3">
        <v>95511.279909102217</v>
      </c>
      <c r="L31" s="17">
        <v>29.65</v>
      </c>
      <c r="M31" s="17">
        <f t="shared" si="1"/>
        <v>49295.774647887323</v>
      </c>
      <c r="N31" s="4">
        <f t="shared" si="2"/>
        <v>0.74647887323943662</v>
      </c>
      <c r="O31" s="3">
        <v>2.1370967741935485</v>
      </c>
      <c r="P31" s="6">
        <v>0</v>
      </c>
      <c r="Q31" s="7">
        <v>0.89376053962900504</v>
      </c>
      <c r="R31" s="30">
        <v>53</v>
      </c>
      <c r="S31" s="30">
        <v>18</v>
      </c>
      <c r="T31" s="30">
        <f t="shared" si="3"/>
        <v>71</v>
      </c>
      <c r="V31" s="14">
        <v>35</v>
      </c>
      <c r="W31" s="17">
        <v>35</v>
      </c>
      <c r="X31" s="6">
        <v>-1.8190944930488069</v>
      </c>
      <c r="Y31" s="4">
        <f t="shared" si="4"/>
        <v>-5.1974128372823052E-2</v>
      </c>
      <c r="Z31" s="3"/>
      <c r="AA31" s="17"/>
      <c r="AB31" s="17"/>
      <c r="AC31" s="6"/>
      <c r="AD31" s="3"/>
      <c r="AE31" s="3"/>
      <c r="AF31" s="7"/>
      <c r="AG31" s="30"/>
      <c r="AH31" s="30"/>
      <c r="AI31" s="30"/>
      <c r="AK31" s="14">
        <v>30</v>
      </c>
      <c r="AL31" s="17">
        <v>24</v>
      </c>
      <c r="AM31" s="3"/>
      <c r="AN31" s="4"/>
      <c r="AO31" s="3"/>
      <c r="AP31" s="17"/>
      <c r="AQ31" s="17"/>
      <c r="AR31" s="6"/>
      <c r="AS31" s="3"/>
      <c r="AT31" s="3"/>
      <c r="AU31" s="7"/>
    </row>
    <row r="32" spans="1:47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G32" s="14">
        <v>20.91</v>
      </c>
      <c r="H32" s="17">
        <v>30.8</v>
      </c>
      <c r="I32" s="6">
        <v>17.552199829209957</v>
      </c>
      <c r="J32" s="4">
        <f t="shared" si="0"/>
        <v>0.56987661783149213</v>
      </c>
      <c r="K32" s="3">
        <v>86813.893648689671</v>
      </c>
      <c r="L32" s="17">
        <v>15.26</v>
      </c>
      <c r="M32" s="17">
        <f t="shared" si="1"/>
        <v>20910</v>
      </c>
      <c r="N32" s="4">
        <f t="shared" si="2"/>
        <v>0.41</v>
      </c>
      <c r="O32" s="3">
        <v>2.9285714285714284</v>
      </c>
      <c r="P32" s="6">
        <v>0</v>
      </c>
      <c r="Q32" s="7">
        <v>2.0183486238532113</v>
      </c>
      <c r="R32" s="30">
        <v>41</v>
      </c>
      <c r="S32" s="30">
        <v>59</v>
      </c>
      <c r="T32" s="30">
        <f t="shared" si="3"/>
        <v>100</v>
      </c>
      <c r="V32" s="14">
        <v>20.91</v>
      </c>
      <c r="W32" s="17">
        <v>28.89</v>
      </c>
      <c r="X32" s="6">
        <v>17.552199829209957</v>
      </c>
      <c r="Y32" s="4">
        <f t="shared" si="4"/>
        <v>0.60755278051955541</v>
      </c>
      <c r="Z32" s="3"/>
      <c r="AA32" s="17"/>
      <c r="AB32" s="17"/>
      <c r="AC32" s="6"/>
      <c r="AD32" s="3"/>
      <c r="AE32" s="3"/>
      <c r="AF32" s="7"/>
      <c r="AG32" s="30"/>
      <c r="AH32" s="30"/>
      <c r="AI32" s="30"/>
      <c r="AK32" s="14">
        <v>20.91</v>
      </c>
      <c r="AL32" s="17">
        <v>21.5</v>
      </c>
      <c r="AM32" s="3"/>
      <c r="AN32" s="4"/>
      <c r="AO32" s="3"/>
      <c r="AP32" s="17"/>
      <c r="AQ32" s="17"/>
      <c r="AR32" s="6"/>
      <c r="AS32" s="3"/>
      <c r="AT32" s="3"/>
      <c r="AU32" s="7"/>
    </row>
    <row r="33" spans="1:47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G33" s="14">
        <v>1</v>
      </c>
      <c r="H33" s="17">
        <v>0</v>
      </c>
      <c r="I33" s="6">
        <v>-1.0580077569325061</v>
      </c>
      <c r="J33" s="4">
        <f t="shared" si="0"/>
        <v>0</v>
      </c>
      <c r="K33" s="3">
        <v>105800.77569325062</v>
      </c>
      <c r="L33" s="17">
        <v>1</v>
      </c>
      <c r="M33" s="17">
        <f t="shared" si="1"/>
        <v>0</v>
      </c>
      <c r="N33" s="4">
        <f t="shared" si="2"/>
        <v>0</v>
      </c>
      <c r="O33" s="3">
        <v>0</v>
      </c>
      <c r="P33" s="6">
        <v>0</v>
      </c>
      <c r="Q33" s="7"/>
      <c r="R33" s="30">
        <v>0</v>
      </c>
      <c r="S33" s="30">
        <v>0</v>
      </c>
      <c r="T33" s="30">
        <f t="shared" si="3"/>
        <v>0</v>
      </c>
      <c r="V33" s="14">
        <v>1.5</v>
      </c>
      <c r="W33" s="17">
        <v>0</v>
      </c>
      <c r="X33" s="6">
        <v>-1.0580077569325061</v>
      </c>
      <c r="Y33" s="4">
        <f t="shared" si="4"/>
        <v>0</v>
      </c>
      <c r="Z33" s="3"/>
      <c r="AA33" s="17"/>
      <c r="AB33" s="17"/>
      <c r="AC33" s="6"/>
      <c r="AD33" s="3"/>
      <c r="AE33" s="3"/>
      <c r="AF33" s="7"/>
      <c r="AG33" s="30"/>
      <c r="AH33" s="30"/>
      <c r="AI33" s="30"/>
      <c r="AK33" s="14">
        <v>1</v>
      </c>
      <c r="AL33" s="17">
        <v>0</v>
      </c>
      <c r="AM33" s="3"/>
      <c r="AN33" s="4"/>
      <c r="AO33" s="3"/>
      <c r="AP33" s="17"/>
      <c r="AQ33" s="17"/>
      <c r="AR33" s="6"/>
      <c r="AS33" s="3"/>
      <c r="AT33" s="3"/>
      <c r="AU33" s="7"/>
    </row>
    <row r="34" spans="1:47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G34" s="14">
        <v>0</v>
      </c>
      <c r="H34" s="17">
        <v>0</v>
      </c>
      <c r="I34" s="6">
        <v>0</v>
      </c>
      <c r="J34" s="4">
        <f t="shared" si="0"/>
        <v>0</v>
      </c>
      <c r="K34" s="3">
        <v>0</v>
      </c>
      <c r="L34" s="17">
        <v>0</v>
      </c>
      <c r="M34" s="17">
        <f t="shared" si="1"/>
        <v>0</v>
      </c>
      <c r="N34" s="4">
        <f t="shared" si="2"/>
        <v>0</v>
      </c>
      <c r="O34" s="3"/>
      <c r="P34" s="6">
        <v>0</v>
      </c>
      <c r="Q34" s="7"/>
      <c r="R34" s="30">
        <v>0</v>
      </c>
      <c r="S34" s="30">
        <v>0</v>
      </c>
      <c r="T34" s="30">
        <f t="shared" si="3"/>
        <v>0</v>
      </c>
      <c r="V34" s="14">
        <v>0</v>
      </c>
      <c r="W34" s="17">
        <v>3.2240000000000002</v>
      </c>
      <c r="X34" s="6">
        <v>0</v>
      </c>
      <c r="Y34" s="4">
        <f t="shared" si="4"/>
        <v>0</v>
      </c>
      <c r="Z34" s="3"/>
      <c r="AA34" s="17"/>
      <c r="AB34" s="17"/>
      <c r="AC34" s="6"/>
      <c r="AD34" s="3"/>
      <c r="AE34" s="3"/>
      <c r="AF34" s="7"/>
      <c r="AG34" s="30"/>
      <c r="AH34" s="30"/>
      <c r="AI34" s="30"/>
      <c r="AK34" s="14">
        <v>0</v>
      </c>
      <c r="AL34" s="17">
        <v>0</v>
      </c>
      <c r="AM34" s="3"/>
      <c r="AN34" s="4"/>
      <c r="AO34" s="3"/>
      <c r="AP34" s="17"/>
      <c r="AQ34" s="17"/>
      <c r="AR34" s="6"/>
      <c r="AS34" s="3"/>
      <c r="AT34" s="3"/>
      <c r="AU34" s="7"/>
    </row>
    <row r="35" spans="1:47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G35" s="14">
        <v>3</v>
      </c>
      <c r="H35" s="17">
        <v>3.81</v>
      </c>
      <c r="I35" s="6">
        <v>1.8177362712086105</v>
      </c>
      <c r="J35" s="4">
        <f t="shared" si="0"/>
        <v>0.4770961341754883</v>
      </c>
      <c r="K35" s="3">
        <v>84777.179948569756</v>
      </c>
      <c r="L35" s="17">
        <v>2.35</v>
      </c>
      <c r="M35" s="17">
        <f t="shared" si="1"/>
        <v>60000</v>
      </c>
      <c r="N35" s="4">
        <f t="shared" si="2"/>
        <v>1</v>
      </c>
      <c r="O35" s="3">
        <v>2.3809523809523809</v>
      </c>
      <c r="P35" s="6">
        <v>0</v>
      </c>
      <c r="Q35" s="7">
        <v>1.6212765957446806</v>
      </c>
      <c r="R35" s="30">
        <v>5</v>
      </c>
      <c r="S35" s="30">
        <v>0</v>
      </c>
      <c r="T35" s="30">
        <f t="shared" si="3"/>
        <v>5</v>
      </c>
      <c r="V35" s="14">
        <v>2.6</v>
      </c>
      <c r="W35" s="17">
        <v>2.78</v>
      </c>
      <c r="X35" s="6">
        <v>1.8177362712086105</v>
      </c>
      <c r="Y35" s="4">
        <f t="shared" si="4"/>
        <v>0.65386196806065133</v>
      </c>
      <c r="Z35" s="3"/>
      <c r="AA35" s="17"/>
      <c r="AB35" s="17"/>
      <c r="AC35" s="6"/>
      <c r="AD35" s="3"/>
      <c r="AE35" s="3"/>
      <c r="AF35" s="7"/>
      <c r="AG35" s="30"/>
      <c r="AH35" s="30"/>
      <c r="AI35" s="30"/>
      <c r="AK35" s="14">
        <v>3</v>
      </c>
      <c r="AL35" s="17">
        <v>2</v>
      </c>
      <c r="AM35" s="3"/>
      <c r="AN35" s="4"/>
      <c r="AO35" s="3"/>
      <c r="AP35" s="17"/>
      <c r="AQ35" s="17"/>
      <c r="AR35" s="6"/>
      <c r="AS35" s="3"/>
      <c r="AT35" s="3"/>
      <c r="AU35" s="7"/>
    </row>
    <row r="36" spans="1:47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G36" s="14">
        <v>7.87</v>
      </c>
      <c r="H36" s="17">
        <v>3.6067749999999998</v>
      </c>
      <c r="I36" s="6">
        <v>-1.032695713618357</v>
      </c>
      <c r="J36" s="4">
        <f t="shared" si="0"/>
        <v>-0.28632108008355306</v>
      </c>
      <c r="K36" s="3">
        <v>89049.437881350415</v>
      </c>
      <c r="L36" s="17">
        <v>5.21</v>
      </c>
      <c r="M36" s="17">
        <f t="shared" si="1"/>
        <v>87444.444444444453</v>
      </c>
      <c r="N36" s="4">
        <f t="shared" si="2"/>
        <v>0.77777777777777779</v>
      </c>
      <c r="O36" s="3">
        <v>1.75</v>
      </c>
      <c r="P36" s="6">
        <v>0</v>
      </c>
      <c r="Q36" s="7">
        <v>0.6922802303262956</v>
      </c>
      <c r="R36" s="30">
        <v>7</v>
      </c>
      <c r="S36" s="30">
        <v>2</v>
      </c>
      <c r="T36" s="30">
        <f t="shared" si="3"/>
        <v>9</v>
      </c>
      <c r="V36" s="14">
        <v>7.87</v>
      </c>
      <c r="W36" s="17">
        <v>6.43</v>
      </c>
      <c r="X36" s="6">
        <v>-1.032695713618357</v>
      </c>
      <c r="Y36" s="4">
        <f t="shared" si="4"/>
        <v>-0.16060586525946455</v>
      </c>
      <c r="Z36" s="3"/>
      <c r="AA36" s="17"/>
      <c r="AB36" s="17"/>
      <c r="AC36" s="6"/>
      <c r="AD36" s="3"/>
      <c r="AE36" s="3"/>
      <c r="AF36" s="7"/>
      <c r="AG36" s="30"/>
      <c r="AH36" s="30"/>
      <c r="AI36" s="30"/>
      <c r="AK36" s="14">
        <v>7.87</v>
      </c>
      <c r="AL36" s="17">
        <v>3.5</v>
      </c>
      <c r="AM36" s="3"/>
      <c r="AN36" s="4"/>
      <c r="AO36" s="3"/>
      <c r="AP36" s="17"/>
      <c r="AQ36" s="17"/>
      <c r="AR36" s="6"/>
      <c r="AS36" s="3"/>
      <c r="AT36" s="3"/>
      <c r="AU36" s="7"/>
    </row>
    <row r="37" spans="1:47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G37" s="14">
        <v>40</v>
      </c>
      <c r="H37" s="17">
        <v>37.19</v>
      </c>
      <c r="I37" s="6">
        <v>23.933454109798934</v>
      </c>
      <c r="J37" s="4">
        <f t="shared" si="0"/>
        <v>0.64354541838663448</v>
      </c>
      <c r="K37" s="3">
        <v>73402.801163903991</v>
      </c>
      <c r="L37" s="17">
        <v>18.059999999999999</v>
      </c>
      <c r="M37" s="17">
        <f t="shared" si="1"/>
        <v>29850.746268656712</v>
      </c>
      <c r="N37" s="4">
        <f t="shared" si="2"/>
        <v>1</v>
      </c>
      <c r="O37" s="3">
        <v>7.882352941176471</v>
      </c>
      <c r="P37" s="6">
        <v>0</v>
      </c>
      <c r="Q37" s="7">
        <v>2.0592469545957921</v>
      </c>
      <c r="R37" s="30">
        <v>134</v>
      </c>
      <c r="S37" s="30">
        <v>0</v>
      </c>
      <c r="T37" s="30">
        <f t="shared" si="3"/>
        <v>134</v>
      </c>
      <c r="V37" s="14">
        <v>36</v>
      </c>
      <c r="W37" s="17">
        <v>29.63</v>
      </c>
      <c r="X37" s="6">
        <v>23.933454109798934</v>
      </c>
      <c r="Y37" s="4">
        <f t="shared" si="4"/>
        <v>0.80774397940597142</v>
      </c>
      <c r="Z37" s="3"/>
      <c r="AA37" s="17"/>
      <c r="AB37" s="17"/>
      <c r="AC37" s="6"/>
      <c r="AD37" s="3"/>
      <c r="AE37" s="3"/>
      <c r="AF37" s="7"/>
      <c r="AG37" s="30"/>
      <c r="AH37" s="30"/>
      <c r="AI37" s="30"/>
      <c r="AK37" s="14">
        <v>36</v>
      </c>
      <c r="AL37" s="17">
        <v>30</v>
      </c>
      <c r="AM37" s="3"/>
      <c r="AN37" s="4"/>
      <c r="AO37" s="3"/>
      <c r="AP37" s="17"/>
      <c r="AQ37" s="17"/>
      <c r="AR37" s="6"/>
      <c r="AS37" s="3"/>
      <c r="AT37" s="3"/>
      <c r="AU37" s="7"/>
    </row>
    <row r="38" spans="1:47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G38" s="14">
        <v>14</v>
      </c>
      <c r="H38" s="17">
        <v>12</v>
      </c>
      <c r="I38" s="6">
        <v>-4.1927339702401092</v>
      </c>
      <c r="J38" s="4">
        <f t="shared" si="0"/>
        <v>-0.34939449752000912</v>
      </c>
      <c r="K38" s="3">
        <v>140806.38234991397</v>
      </c>
      <c r="L38" s="17">
        <v>11.5</v>
      </c>
      <c r="M38" s="17">
        <f t="shared" si="1"/>
        <v>41176.470588235294</v>
      </c>
      <c r="N38" s="4">
        <f t="shared" si="2"/>
        <v>0.35294117647058826</v>
      </c>
      <c r="O38" s="3">
        <v>1.7142857142857142</v>
      </c>
      <c r="P38" s="6">
        <v>0</v>
      </c>
      <c r="Q38" s="7">
        <v>1.0434782608695652</v>
      </c>
      <c r="R38" s="30">
        <v>12</v>
      </c>
      <c r="S38" s="30">
        <v>22</v>
      </c>
      <c r="T38" s="30">
        <f t="shared" si="3"/>
        <v>34</v>
      </c>
      <c r="V38" s="14">
        <v>15</v>
      </c>
      <c r="W38" s="17">
        <v>12.259040000000001</v>
      </c>
      <c r="X38" s="6">
        <v>-4.1927339702401092</v>
      </c>
      <c r="Y38" s="4">
        <f t="shared" si="4"/>
        <v>-0.34201160696433891</v>
      </c>
      <c r="Z38" s="3"/>
      <c r="AA38" s="17"/>
      <c r="AB38" s="17"/>
      <c r="AC38" s="6"/>
      <c r="AD38" s="3"/>
      <c r="AE38" s="3"/>
      <c r="AF38" s="7"/>
      <c r="AG38" s="30"/>
      <c r="AH38" s="30"/>
      <c r="AI38" s="30"/>
      <c r="AK38" s="14">
        <v>17</v>
      </c>
      <c r="AL38" s="17">
        <v>24.4</v>
      </c>
      <c r="AM38" s="3"/>
      <c r="AN38" s="4"/>
      <c r="AO38" s="3"/>
      <c r="AP38" s="17"/>
      <c r="AQ38" s="17"/>
      <c r="AR38" s="6"/>
      <c r="AS38" s="3"/>
      <c r="AT38" s="3"/>
      <c r="AU38" s="7"/>
    </row>
    <row r="39" spans="1:47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G39" s="14">
        <v>5</v>
      </c>
      <c r="H39" s="17">
        <v>4.83</v>
      </c>
      <c r="I39" s="6">
        <v>2.1951804637865311</v>
      </c>
      <c r="J39" s="4">
        <f t="shared" si="0"/>
        <v>0.45448870885849502</v>
      </c>
      <c r="K39" s="3">
        <v>86105.213601747353</v>
      </c>
      <c r="L39" s="17">
        <v>3.06</v>
      </c>
      <c r="M39" s="17">
        <f t="shared" si="1"/>
        <v>41666.666666666672</v>
      </c>
      <c r="N39" s="4">
        <f t="shared" si="2"/>
        <v>0.66666666666666663</v>
      </c>
      <c r="O39" s="3">
        <v>4</v>
      </c>
      <c r="P39" s="6">
        <v>0</v>
      </c>
      <c r="Q39" s="7">
        <v>1.5784313725490196</v>
      </c>
      <c r="R39" s="30">
        <v>8</v>
      </c>
      <c r="S39" s="30">
        <v>4</v>
      </c>
      <c r="T39" s="30">
        <f t="shared" si="3"/>
        <v>12</v>
      </c>
      <c r="V39" s="14">
        <v>5</v>
      </c>
      <c r="W39" s="17">
        <v>7.2050199999999993</v>
      </c>
      <c r="X39" s="6">
        <v>2.1951804637865311</v>
      </c>
      <c r="Y39" s="4">
        <f t="shared" si="4"/>
        <v>0.30467375021672821</v>
      </c>
      <c r="Z39" s="3"/>
      <c r="AA39" s="17"/>
      <c r="AB39" s="17"/>
      <c r="AC39" s="6"/>
      <c r="AD39" s="3"/>
      <c r="AE39" s="3"/>
      <c r="AF39" s="7"/>
      <c r="AG39" s="30"/>
      <c r="AH39" s="30"/>
      <c r="AI39" s="30"/>
      <c r="AK39" s="14">
        <v>5.5</v>
      </c>
      <c r="AL39" s="17">
        <v>5.5</v>
      </c>
      <c r="AM39" s="3"/>
      <c r="AN39" s="4"/>
      <c r="AO39" s="3"/>
      <c r="AP39" s="17"/>
      <c r="AQ39" s="17"/>
      <c r="AR39" s="6"/>
      <c r="AS39" s="3"/>
      <c r="AT39" s="3"/>
      <c r="AU39" s="7"/>
    </row>
    <row r="40" spans="1:47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G40" s="14">
        <v>3</v>
      </c>
      <c r="H40" s="17">
        <v>3.5616104000000002</v>
      </c>
      <c r="I40" s="6">
        <v>-0.61549169126990066</v>
      </c>
      <c r="J40" s="4">
        <f t="shared" si="0"/>
        <v>-0.17281275101563626</v>
      </c>
      <c r="K40" s="3">
        <v>100653.05280168437</v>
      </c>
      <c r="L40" s="17">
        <v>4.1499999999999995</v>
      </c>
      <c r="M40" s="17">
        <f t="shared" si="1"/>
        <v>100000</v>
      </c>
      <c r="N40" s="4">
        <f t="shared" si="2"/>
        <v>1</v>
      </c>
      <c r="O40" s="3">
        <v>0.96774193548387089</v>
      </c>
      <c r="P40" s="6">
        <v>0</v>
      </c>
      <c r="Q40" s="7">
        <v>0.85821927710843393</v>
      </c>
      <c r="R40" s="30">
        <v>3</v>
      </c>
      <c r="S40" s="30">
        <v>0</v>
      </c>
      <c r="T40" s="30">
        <f t="shared" si="3"/>
        <v>3</v>
      </c>
      <c r="V40" s="14">
        <v>4</v>
      </c>
      <c r="W40" s="17">
        <v>6.72</v>
      </c>
      <c r="X40" s="6">
        <v>-0.61549169126990066</v>
      </c>
      <c r="Y40" s="4">
        <f t="shared" si="4"/>
        <v>-9.159102548659237E-2</v>
      </c>
      <c r="Z40" s="3"/>
      <c r="AA40" s="17"/>
      <c r="AB40" s="17"/>
      <c r="AC40" s="6"/>
      <c r="AD40" s="3"/>
      <c r="AE40" s="3"/>
      <c r="AF40" s="7"/>
      <c r="AG40" s="30"/>
      <c r="AH40" s="30"/>
      <c r="AI40" s="30"/>
      <c r="AK40" s="14">
        <v>5</v>
      </c>
      <c r="AL40" s="17">
        <v>9</v>
      </c>
      <c r="AM40" s="3"/>
      <c r="AN40" s="4"/>
      <c r="AO40" s="3"/>
      <c r="AP40" s="17"/>
      <c r="AQ40" s="17"/>
      <c r="AR40" s="6"/>
      <c r="AS40" s="3"/>
      <c r="AT40" s="3"/>
      <c r="AU40" s="7"/>
    </row>
    <row r="41" spans="1:47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G41" s="14">
        <v>0</v>
      </c>
      <c r="H41" s="17">
        <v>0</v>
      </c>
      <c r="I41" s="6">
        <v>0</v>
      </c>
      <c r="J41" s="4">
        <f t="shared" si="0"/>
        <v>0</v>
      </c>
      <c r="K41" s="3">
        <v>0</v>
      </c>
      <c r="L41" s="17">
        <v>0</v>
      </c>
      <c r="M41" s="17">
        <f t="shared" si="1"/>
        <v>0</v>
      </c>
      <c r="N41" s="4">
        <f t="shared" si="2"/>
        <v>0</v>
      </c>
      <c r="O41" s="3"/>
      <c r="P41" s="6">
        <v>0</v>
      </c>
      <c r="Q41" s="7"/>
      <c r="R41" s="30">
        <v>0</v>
      </c>
      <c r="S41" s="30">
        <v>0</v>
      </c>
      <c r="T41" s="30">
        <f t="shared" si="3"/>
        <v>0</v>
      </c>
      <c r="V41" s="14">
        <v>0</v>
      </c>
      <c r="W41" s="17">
        <v>0</v>
      </c>
      <c r="X41" s="6">
        <v>0</v>
      </c>
      <c r="Y41" s="4">
        <f t="shared" si="4"/>
        <v>0</v>
      </c>
      <c r="Z41" s="3"/>
      <c r="AA41" s="17"/>
      <c r="AB41" s="17"/>
      <c r="AC41" s="6"/>
      <c r="AD41" s="3"/>
      <c r="AE41" s="3"/>
      <c r="AF41" s="7"/>
      <c r="AG41" s="30"/>
      <c r="AH41" s="30"/>
      <c r="AI41" s="30"/>
      <c r="AK41" s="14">
        <v>0</v>
      </c>
      <c r="AL41" s="17">
        <v>0</v>
      </c>
      <c r="AM41" s="3"/>
      <c r="AN41" s="4"/>
      <c r="AO41" s="3"/>
      <c r="AP41" s="17"/>
      <c r="AQ41" s="17"/>
      <c r="AR41" s="6"/>
      <c r="AS41" s="3"/>
      <c r="AT41" s="3"/>
      <c r="AU41" s="7"/>
    </row>
    <row r="42" spans="1:47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G42" s="14">
        <v>9.5</v>
      </c>
      <c r="H42" s="17">
        <v>10.17</v>
      </c>
      <c r="I42" s="6">
        <v>4.66027499103072</v>
      </c>
      <c r="J42" s="4">
        <f t="shared" si="0"/>
        <v>0.45823746224490858</v>
      </c>
      <c r="K42" s="3">
        <v>112443.36752998531</v>
      </c>
      <c r="L42" s="17">
        <v>4.9000000000000004</v>
      </c>
      <c r="M42" s="17">
        <f t="shared" si="1"/>
        <v>47500</v>
      </c>
      <c r="N42" s="4">
        <f t="shared" si="2"/>
        <v>0.35</v>
      </c>
      <c r="O42" s="3">
        <v>2.1538461538461537</v>
      </c>
      <c r="P42" s="6">
        <v>0</v>
      </c>
      <c r="Q42" s="7">
        <v>2.0755102040816324</v>
      </c>
      <c r="R42" s="30">
        <v>7</v>
      </c>
      <c r="S42" s="30">
        <v>13</v>
      </c>
      <c r="T42" s="30">
        <f t="shared" si="3"/>
        <v>20</v>
      </c>
      <c r="V42" s="14">
        <v>9.5</v>
      </c>
      <c r="W42" s="17">
        <v>10.19</v>
      </c>
      <c r="X42" s="6">
        <v>4.66027499103072</v>
      </c>
      <c r="Y42" s="4">
        <f t="shared" si="4"/>
        <v>0.45733807566542889</v>
      </c>
      <c r="Z42" s="3"/>
      <c r="AA42" s="17"/>
      <c r="AB42" s="17"/>
      <c r="AC42" s="6"/>
      <c r="AD42" s="3"/>
      <c r="AE42" s="3"/>
      <c r="AF42" s="7"/>
      <c r="AG42" s="30"/>
      <c r="AH42" s="30"/>
      <c r="AI42" s="30"/>
      <c r="AK42" s="14">
        <v>9.5</v>
      </c>
      <c r="AL42" s="17">
        <v>9.75</v>
      </c>
      <c r="AM42" s="3"/>
      <c r="AN42" s="4"/>
      <c r="AO42" s="3"/>
      <c r="AP42" s="17"/>
      <c r="AQ42" s="17"/>
      <c r="AR42" s="6"/>
      <c r="AS42" s="3"/>
      <c r="AT42" s="3"/>
      <c r="AU42" s="7"/>
    </row>
    <row r="43" spans="1:47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G43" s="14">
        <v>0</v>
      </c>
      <c r="H43" s="17">
        <v>0</v>
      </c>
      <c r="I43" s="6">
        <v>-0.71279775693250613</v>
      </c>
      <c r="J43" s="4">
        <f t="shared" si="0"/>
        <v>0</v>
      </c>
      <c r="K43" s="3">
        <v>71279.775693250616</v>
      </c>
      <c r="L43" s="17">
        <v>1</v>
      </c>
      <c r="M43" s="17">
        <f t="shared" si="1"/>
        <v>0</v>
      </c>
      <c r="N43" s="4">
        <f t="shared" si="2"/>
        <v>0</v>
      </c>
      <c r="O43" s="3">
        <v>0</v>
      </c>
      <c r="P43" s="6">
        <v>0</v>
      </c>
      <c r="Q43" s="7"/>
      <c r="R43" s="30">
        <v>0</v>
      </c>
      <c r="S43" s="30">
        <v>0</v>
      </c>
      <c r="T43" s="30">
        <f t="shared" si="3"/>
        <v>0</v>
      </c>
      <c r="V43" s="14">
        <v>0</v>
      </c>
      <c r="W43" s="17">
        <v>0</v>
      </c>
      <c r="X43" s="6">
        <v>-0.71279775693250613</v>
      </c>
      <c r="Y43" s="4">
        <f t="shared" si="4"/>
        <v>0</v>
      </c>
      <c r="Z43" s="3"/>
      <c r="AA43" s="17"/>
      <c r="AB43" s="17"/>
      <c r="AC43" s="6"/>
      <c r="AD43" s="3"/>
      <c r="AE43" s="3"/>
      <c r="AF43" s="7"/>
      <c r="AG43" s="30"/>
      <c r="AH43" s="30"/>
      <c r="AI43" s="30"/>
      <c r="AK43" s="14">
        <v>0</v>
      </c>
      <c r="AL43" s="17">
        <v>1</v>
      </c>
      <c r="AM43" s="3"/>
      <c r="AN43" s="4"/>
      <c r="AO43" s="3"/>
      <c r="AP43" s="17"/>
      <c r="AQ43" s="17"/>
      <c r="AR43" s="6"/>
      <c r="AS43" s="3"/>
      <c r="AT43" s="3"/>
      <c r="AU43" s="7"/>
    </row>
    <row r="44" spans="1:47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G44" s="14">
        <v>7</v>
      </c>
      <c r="H44" s="17">
        <v>2.90625</v>
      </c>
      <c r="I44" s="6">
        <v>-1.1467204875177517</v>
      </c>
      <c r="J44" s="4">
        <f t="shared" si="0"/>
        <v>-0.39457049032868874</v>
      </c>
      <c r="K44" s="3">
        <v>93602.089781010436</v>
      </c>
      <c r="L44" s="17">
        <v>4.33</v>
      </c>
      <c r="M44" s="17">
        <f t="shared" si="1"/>
        <v>700000</v>
      </c>
      <c r="N44" s="4">
        <f t="shared" si="2"/>
        <v>1</v>
      </c>
      <c r="O44" s="3">
        <v>0.33333333333333331</v>
      </c>
      <c r="P44" s="6">
        <v>2.9</v>
      </c>
      <c r="Q44" s="7">
        <v>0.67118937644341803</v>
      </c>
      <c r="R44" s="30">
        <v>1</v>
      </c>
      <c r="S44" s="30">
        <v>0</v>
      </c>
      <c r="T44" s="30">
        <f t="shared" si="3"/>
        <v>1</v>
      </c>
      <c r="V44" s="14">
        <v>7</v>
      </c>
      <c r="W44" s="17">
        <v>8.2937499999999993</v>
      </c>
      <c r="X44" s="6">
        <v>-1.1467204875177517</v>
      </c>
      <c r="Y44" s="4">
        <f t="shared" si="4"/>
        <v>-0.1382632087436626</v>
      </c>
      <c r="Z44" s="3"/>
      <c r="AA44" s="17"/>
      <c r="AB44" s="17"/>
      <c r="AC44" s="6"/>
      <c r="AD44" s="3"/>
      <c r="AE44" s="3"/>
      <c r="AF44" s="7"/>
      <c r="AG44" s="30"/>
      <c r="AH44" s="30"/>
      <c r="AI44" s="30"/>
      <c r="AK44" s="14">
        <v>6</v>
      </c>
      <c r="AL44" s="17">
        <v>9</v>
      </c>
      <c r="AM44" s="3"/>
      <c r="AN44" s="4"/>
      <c r="AO44" s="3"/>
      <c r="AP44" s="17"/>
      <c r="AQ44" s="17"/>
      <c r="AR44" s="6"/>
      <c r="AS44" s="3"/>
      <c r="AT44" s="3"/>
      <c r="AU44" s="7"/>
    </row>
    <row r="45" spans="1:47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G45" s="14">
        <v>11.1936</v>
      </c>
      <c r="H45" s="17">
        <v>7.97</v>
      </c>
      <c r="I45" s="6">
        <v>1.9023512153374691</v>
      </c>
      <c r="J45" s="4">
        <f t="shared" si="0"/>
        <v>0.23868898561323326</v>
      </c>
      <c r="K45" s="3">
        <v>121352.97569325061</v>
      </c>
      <c r="L45" s="17">
        <v>5</v>
      </c>
      <c r="M45" s="17">
        <f t="shared" si="1"/>
        <v>223871.99999999997</v>
      </c>
      <c r="N45" s="4">
        <f t="shared" si="2"/>
        <v>1</v>
      </c>
      <c r="O45" s="3">
        <v>1.25</v>
      </c>
      <c r="P45" s="6">
        <v>7.97</v>
      </c>
      <c r="Q45" s="7">
        <v>1.5940000000000001</v>
      </c>
      <c r="R45" s="30">
        <v>5</v>
      </c>
      <c r="S45" s="30">
        <v>0</v>
      </c>
      <c r="T45" s="30">
        <f t="shared" si="3"/>
        <v>5</v>
      </c>
      <c r="V45" s="14">
        <v>11.1936</v>
      </c>
      <c r="W45" s="17">
        <v>5.75</v>
      </c>
      <c r="X45" s="6">
        <v>1.9023512153374691</v>
      </c>
      <c r="Y45" s="4">
        <f t="shared" si="4"/>
        <v>0.33084368962390764</v>
      </c>
      <c r="Z45" s="3"/>
      <c r="AA45" s="17"/>
      <c r="AB45" s="17"/>
      <c r="AC45" s="6"/>
      <c r="AD45" s="3"/>
      <c r="AE45" s="3"/>
      <c r="AF45" s="7"/>
      <c r="AG45" s="30"/>
      <c r="AH45" s="30"/>
      <c r="AI45" s="30"/>
      <c r="AK45" s="14">
        <v>11.1936</v>
      </c>
      <c r="AL45" s="17">
        <v>9.0863999999999994</v>
      </c>
      <c r="AM45" s="3"/>
      <c r="AN45" s="4"/>
      <c r="AO45" s="3"/>
      <c r="AP45" s="17"/>
      <c r="AQ45" s="17"/>
      <c r="AR45" s="6"/>
      <c r="AS45" s="3"/>
      <c r="AT45" s="3"/>
      <c r="AU45" s="7"/>
    </row>
    <row r="46" spans="1:47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G46" s="14">
        <v>6.3666666666666663</v>
      </c>
      <c r="H46" s="17">
        <v>10.65</v>
      </c>
      <c r="I46" s="6">
        <v>5.1783790191718362</v>
      </c>
      <c r="J46" s="4">
        <f t="shared" si="0"/>
        <v>0.48623277175322405</v>
      </c>
      <c r="K46" s="3">
        <v>87545.93569325062</v>
      </c>
      <c r="L46" s="17">
        <v>6.25</v>
      </c>
      <c r="M46" s="17">
        <f t="shared" si="1"/>
        <v>31833.333333333328</v>
      </c>
      <c r="N46" s="4">
        <f t="shared" si="2"/>
        <v>0.6</v>
      </c>
      <c r="O46" s="3">
        <v>2.4</v>
      </c>
      <c r="P46" s="6">
        <v>0</v>
      </c>
      <c r="Q46" s="7">
        <v>1.704</v>
      </c>
      <c r="R46" s="30">
        <v>12</v>
      </c>
      <c r="S46" s="30">
        <v>8</v>
      </c>
      <c r="T46" s="30">
        <f t="shared" si="3"/>
        <v>20</v>
      </c>
      <c r="V46" s="14">
        <v>6.3666666666666663</v>
      </c>
      <c r="W46" s="17">
        <v>10.235100000000001</v>
      </c>
      <c r="X46" s="6">
        <v>5.1783790191718362</v>
      </c>
      <c r="Y46" s="4">
        <f t="shared" si="4"/>
        <v>0.50594317780694231</v>
      </c>
      <c r="Z46" s="3"/>
      <c r="AA46" s="17"/>
      <c r="AB46" s="17"/>
      <c r="AC46" s="6"/>
      <c r="AD46" s="3"/>
      <c r="AE46" s="3"/>
      <c r="AF46" s="7"/>
      <c r="AG46" s="30"/>
      <c r="AH46" s="30"/>
      <c r="AI46" s="30"/>
      <c r="AK46" s="14">
        <v>6.3666666666666663</v>
      </c>
      <c r="AL46" s="17">
        <v>5.0999999999999996</v>
      </c>
      <c r="AM46" s="3"/>
      <c r="AN46" s="4"/>
      <c r="AO46" s="3"/>
      <c r="AP46" s="17"/>
      <c r="AQ46" s="17"/>
      <c r="AR46" s="6"/>
      <c r="AS46" s="3"/>
      <c r="AT46" s="3"/>
      <c r="AU46" s="7"/>
    </row>
    <row r="47" spans="1:47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G47" s="14">
        <v>4</v>
      </c>
      <c r="H47" s="17">
        <v>6.5951000000000004</v>
      </c>
      <c r="I47" s="6">
        <v>4.5628500469018611</v>
      </c>
      <c r="J47" s="4">
        <f t="shared" si="0"/>
        <v>0.69185456579913285</v>
      </c>
      <c r="K47" s="3">
        <v>90322.220137695054</v>
      </c>
      <c r="L47" s="17">
        <v>2.25</v>
      </c>
      <c r="M47" s="17">
        <f t="shared" si="1"/>
        <v>50000</v>
      </c>
      <c r="N47" s="4">
        <f t="shared" si="2"/>
        <v>1</v>
      </c>
      <c r="O47" s="3">
        <v>4</v>
      </c>
      <c r="P47" s="6">
        <v>0</v>
      </c>
      <c r="Q47" s="7">
        <v>2.9311555555555557</v>
      </c>
      <c r="R47" s="30">
        <v>8</v>
      </c>
      <c r="S47" s="30">
        <v>0</v>
      </c>
      <c r="T47" s="30">
        <f t="shared" si="3"/>
        <v>8</v>
      </c>
      <c r="V47" s="14">
        <v>4</v>
      </c>
      <c r="W47" s="17">
        <v>4.0999999999999996</v>
      </c>
      <c r="X47" s="6">
        <v>4.5628500469018611</v>
      </c>
      <c r="Y47" s="4">
        <f t="shared" si="4"/>
        <v>1.1128902553419175</v>
      </c>
      <c r="Z47" s="3"/>
      <c r="AA47" s="17"/>
      <c r="AB47" s="17"/>
      <c r="AC47" s="6"/>
      <c r="AD47" s="3"/>
      <c r="AE47" s="3"/>
      <c r="AF47" s="7"/>
      <c r="AG47" s="30"/>
      <c r="AH47" s="30"/>
      <c r="AI47" s="30"/>
      <c r="AK47" s="14">
        <v>4</v>
      </c>
      <c r="AL47" s="17">
        <v>4</v>
      </c>
      <c r="AM47" s="3"/>
      <c r="AN47" s="4"/>
      <c r="AO47" s="3"/>
      <c r="AP47" s="17"/>
      <c r="AQ47" s="17"/>
      <c r="AR47" s="6"/>
      <c r="AS47" s="3"/>
      <c r="AT47" s="3"/>
      <c r="AU47" s="7"/>
    </row>
    <row r="48" spans="1:47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G48" s="14">
        <v>45.833333333333336</v>
      </c>
      <c r="H48" s="17">
        <v>65.400000000000006</v>
      </c>
      <c r="I48" s="6">
        <v>39.776148114208837</v>
      </c>
      <c r="J48" s="4">
        <f t="shared" si="0"/>
        <v>0.6081979833976886</v>
      </c>
      <c r="K48" s="3">
        <v>95611.387633549122</v>
      </c>
      <c r="L48" s="17">
        <v>26.8</v>
      </c>
      <c r="M48" s="17">
        <f t="shared" si="1"/>
        <v>40204.678362573104</v>
      </c>
      <c r="N48" s="4">
        <f t="shared" si="2"/>
        <v>0.8771929824561403</v>
      </c>
      <c r="O48" s="3">
        <v>4.7619047619047619</v>
      </c>
      <c r="P48" s="6">
        <v>50</v>
      </c>
      <c r="Q48" s="7">
        <v>2.4402985074626864</v>
      </c>
      <c r="R48" s="30">
        <v>100</v>
      </c>
      <c r="S48" s="30">
        <v>14</v>
      </c>
      <c r="T48" s="30">
        <f t="shared" si="3"/>
        <v>114</v>
      </c>
      <c r="V48" s="14">
        <v>45.833333333333336</v>
      </c>
      <c r="W48" s="17">
        <v>70</v>
      </c>
      <c r="X48" s="6">
        <v>39.776148114208837</v>
      </c>
      <c r="Y48" s="4">
        <f t="shared" si="4"/>
        <v>0.56823068734584048</v>
      </c>
      <c r="Z48" s="3"/>
      <c r="AA48" s="17"/>
      <c r="AB48" s="17"/>
      <c r="AC48" s="6"/>
      <c r="AD48" s="3"/>
      <c r="AE48" s="3"/>
      <c r="AF48" s="7"/>
      <c r="AG48" s="30"/>
      <c r="AH48" s="30"/>
      <c r="AI48" s="30"/>
      <c r="AK48" s="14">
        <v>45.833333333333336</v>
      </c>
      <c r="AL48" s="17">
        <v>45.8</v>
      </c>
      <c r="AM48" s="3"/>
      <c r="AN48" s="4"/>
      <c r="AO48" s="3"/>
      <c r="AP48" s="17"/>
      <c r="AQ48" s="17"/>
      <c r="AR48" s="6"/>
      <c r="AS48" s="3"/>
      <c r="AT48" s="3"/>
      <c r="AU48" s="7"/>
    </row>
    <row r="49" spans="1:47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G49" s="14">
        <v>17.509999999999998</v>
      </c>
      <c r="H49" s="17">
        <v>17</v>
      </c>
      <c r="I49" s="6">
        <v>-6.0292014040660744</v>
      </c>
      <c r="J49" s="4">
        <f t="shared" si="0"/>
        <v>-0.35465890612153378</v>
      </c>
      <c r="K49" s="3">
        <v>114801.6022136893</v>
      </c>
      <c r="L49" s="17">
        <v>20.059999999999999</v>
      </c>
      <c r="M49" s="17">
        <f t="shared" si="1"/>
        <v>70039.999999999985</v>
      </c>
      <c r="N49" s="4">
        <f t="shared" si="2"/>
        <v>0.84</v>
      </c>
      <c r="O49" s="3">
        <v>1.3125</v>
      </c>
      <c r="P49" s="6">
        <v>17</v>
      </c>
      <c r="Q49" s="7">
        <v>0.84745762711864414</v>
      </c>
      <c r="R49" s="30">
        <v>21</v>
      </c>
      <c r="S49" s="30">
        <v>4</v>
      </c>
      <c r="T49" s="30">
        <f t="shared" si="3"/>
        <v>25</v>
      </c>
      <c r="V49" s="14">
        <v>30.29</v>
      </c>
      <c r="W49" s="17">
        <v>25.691798554999995</v>
      </c>
      <c r="X49" s="6">
        <v>-6.0292014040660744</v>
      </c>
      <c r="Y49" s="4">
        <f t="shared" si="4"/>
        <v>-0.23467416619973089</v>
      </c>
      <c r="Z49" s="3"/>
      <c r="AA49" s="17"/>
      <c r="AB49" s="17"/>
      <c r="AC49" s="6"/>
      <c r="AD49" s="3"/>
      <c r="AE49" s="3"/>
      <c r="AF49" s="7"/>
      <c r="AG49" s="30"/>
      <c r="AH49" s="30"/>
      <c r="AI49" s="30"/>
      <c r="AK49" s="14">
        <v>33.83</v>
      </c>
      <c r="AL49" s="17">
        <v>30</v>
      </c>
      <c r="AM49" s="3"/>
      <c r="AN49" s="4"/>
      <c r="AO49" s="3"/>
      <c r="AP49" s="17"/>
      <c r="AQ49" s="17"/>
      <c r="AR49" s="6"/>
      <c r="AS49" s="3"/>
      <c r="AT49" s="3"/>
      <c r="AU49" s="7"/>
    </row>
    <row r="50" spans="1:47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G50" s="14">
        <v>7.25</v>
      </c>
      <c r="H50" s="17">
        <v>7.9112900000000002</v>
      </c>
      <c r="I50" s="6">
        <v>6.5396478038343675</v>
      </c>
      <c r="J50" s="4">
        <f t="shared" si="0"/>
        <v>0.82662218220219041</v>
      </c>
      <c r="K50" s="3">
        <v>109731.37569325061</v>
      </c>
      <c r="L50" s="17">
        <v>1.25</v>
      </c>
      <c r="M50" s="17">
        <f t="shared" si="1"/>
        <v>241666.66666666666</v>
      </c>
      <c r="N50" s="4">
        <f t="shared" si="2"/>
        <v>1</v>
      </c>
      <c r="O50" s="3">
        <v>3</v>
      </c>
      <c r="P50" s="6">
        <v>0</v>
      </c>
      <c r="Q50" s="7">
        <v>6.3290319999999998</v>
      </c>
      <c r="R50" s="30">
        <v>3</v>
      </c>
      <c r="S50" s="30">
        <v>0</v>
      </c>
      <c r="T50" s="30">
        <f t="shared" si="3"/>
        <v>3</v>
      </c>
      <c r="V50" s="14">
        <v>7.25</v>
      </c>
      <c r="W50" s="17">
        <v>7.7</v>
      </c>
      <c r="X50" s="6">
        <v>6.5396478038343675</v>
      </c>
      <c r="Y50" s="4">
        <f t="shared" si="4"/>
        <v>0.84930490958887883</v>
      </c>
      <c r="Z50" s="3"/>
      <c r="AA50" s="17"/>
      <c r="AB50" s="17"/>
      <c r="AC50" s="6"/>
      <c r="AD50" s="3"/>
      <c r="AE50" s="3"/>
      <c r="AF50" s="7"/>
      <c r="AG50" s="30"/>
      <c r="AH50" s="30"/>
      <c r="AI50" s="30"/>
      <c r="AK50" s="14">
        <v>7.25</v>
      </c>
      <c r="AL50" s="17">
        <v>3.83</v>
      </c>
      <c r="AM50" s="3"/>
      <c r="AN50" s="4"/>
      <c r="AO50" s="3"/>
      <c r="AP50" s="17"/>
      <c r="AQ50" s="17"/>
      <c r="AR50" s="6"/>
      <c r="AS50" s="3"/>
      <c r="AT50" s="3"/>
      <c r="AU50" s="7"/>
    </row>
    <row r="51" spans="1:47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G51" s="14">
        <v>19</v>
      </c>
      <c r="H51" s="17">
        <v>0</v>
      </c>
      <c r="I51" s="6">
        <v>-8.0491134294416629</v>
      </c>
      <c r="J51" s="4">
        <f t="shared" si="0"/>
        <v>0</v>
      </c>
      <c r="K51" s="3">
        <v>133043.19718085392</v>
      </c>
      <c r="L51" s="17">
        <v>6.05</v>
      </c>
      <c r="M51" s="17">
        <f t="shared" si="1"/>
        <v>0</v>
      </c>
      <c r="N51" s="4">
        <f t="shared" si="2"/>
        <v>0</v>
      </c>
      <c r="O51" s="3">
        <v>0</v>
      </c>
      <c r="P51" s="6">
        <v>0</v>
      </c>
      <c r="Q51" s="7"/>
      <c r="R51" s="30">
        <v>0</v>
      </c>
      <c r="S51" s="30">
        <v>0</v>
      </c>
      <c r="T51" s="30">
        <f t="shared" si="3"/>
        <v>0</v>
      </c>
      <c r="V51" s="14">
        <v>19</v>
      </c>
      <c r="W51" s="17">
        <v>0.99424999999999997</v>
      </c>
      <c r="X51" s="6">
        <v>-8.0491134294416629</v>
      </c>
      <c r="Y51" s="4">
        <f t="shared" si="4"/>
        <v>-8.0956634945352413</v>
      </c>
      <c r="Z51" s="3"/>
      <c r="AA51" s="17"/>
      <c r="AB51" s="17"/>
      <c r="AC51" s="6"/>
      <c r="AD51" s="3"/>
      <c r="AE51" s="3"/>
      <c r="AF51" s="7"/>
      <c r="AG51" s="30"/>
      <c r="AH51" s="30"/>
      <c r="AI51" s="30"/>
      <c r="AK51" s="14">
        <v>19</v>
      </c>
      <c r="AL51" s="17">
        <v>0</v>
      </c>
      <c r="AM51" s="3"/>
      <c r="AN51" s="4"/>
      <c r="AO51" s="3"/>
      <c r="AP51" s="17"/>
      <c r="AQ51" s="17"/>
      <c r="AR51" s="6"/>
      <c r="AS51" s="3"/>
      <c r="AT51" s="3"/>
      <c r="AU51" s="7"/>
    </row>
    <row r="52" spans="1:47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G52" s="14">
        <v>1</v>
      </c>
      <c r="H52" s="17">
        <v>1</v>
      </c>
      <c r="I52" s="6">
        <v>-1.0352955138650124</v>
      </c>
      <c r="J52" s="4">
        <f t="shared" si="0"/>
        <v>-1.0352955138650124</v>
      </c>
      <c r="K52" s="3">
        <v>101764.77569325062</v>
      </c>
      <c r="L52" s="17">
        <v>2</v>
      </c>
      <c r="M52" s="17">
        <f t="shared" si="1"/>
        <v>0</v>
      </c>
      <c r="N52" s="4">
        <f t="shared" si="2"/>
        <v>0</v>
      </c>
      <c r="O52" s="3"/>
      <c r="P52" s="6">
        <v>0</v>
      </c>
      <c r="Q52" s="7">
        <v>0.5</v>
      </c>
      <c r="R52" s="30">
        <v>0</v>
      </c>
      <c r="S52" s="30">
        <v>0</v>
      </c>
      <c r="T52" s="30">
        <f t="shared" si="3"/>
        <v>0</v>
      </c>
      <c r="V52" s="14">
        <v>2</v>
      </c>
      <c r="W52" s="17">
        <v>0</v>
      </c>
      <c r="X52" s="6">
        <v>-1.0352955138650124</v>
      </c>
      <c r="Y52" s="4">
        <f t="shared" si="4"/>
        <v>0</v>
      </c>
      <c r="Z52" s="3"/>
      <c r="AA52" s="17"/>
      <c r="AB52" s="17"/>
      <c r="AC52" s="6"/>
      <c r="AD52" s="3"/>
      <c r="AE52" s="3"/>
      <c r="AF52" s="7"/>
      <c r="AG52" s="30"/>
      <c r="AH52" s="30"/>
      <c r="AI52" s="30"/>
      <c r="AK52" s="14">
        <v>5</v>
      </c>
      <c r="AL52" s="17">
        <v>5</v>
      </c>
      <c r="AM52" s="3"/>
      <c r="AN52" s="4"/>
      <c r="AO52" s="3"/>
      <c r="AP52" s="17"/>
      <c r="AQ52" s="17"/>
      <c r="AR52" s="6"/>
      <c r="AS52" s="3"/>
      <c r="AT52" s="3"/>
      <c r="AU52" s="7"/>
    </row>
    <row r="53" spans="1:47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G53" s="14">
        <v>0</v>
      </c>
      <c r="H53" s="17">
        <v>0</v>
      </c>
      <c r="I53" s="6">
        <v>0</v>
      </c>
      <c r="J53" s="4">
        <f t="shared" si="0"/>
        <v>0</v>
      </c>
      <c r="K53" s="3">
        <v>0</v>
      </c>
      <c r="L53" s="17">
        <v>0</v>
      </c>
      <c r="M53" s="17">
        <f t="shared" si="1"/>
        <v>0</v>
      </c>
      <c r="N53" s="4">
        <f t="shared" si="2"/>
        <v>0</v>
      </c>
      <c r="O53" s="3"/>
      <c r="P53" s="6">
        <v>0</v>
      </c>
      <c r="Q53" s="7"/>
      <c r="R53" s="30">
        <v>0</v>
      </c>
      <c r="S53" s="30">
        <v>0</v>
      </c>
      <c r="T53" s="30">
        <f t="shared" si="3"/>
        <v>0</v>
      </c>
      <c r="V53" s="14">
        <v>0</v>
      </c>
      <c r="W53" s="17">
        <v>0</v>
      </c>
      <c r="X53" s="6">
        <v>0</v>
      </c>
      <c r="Y53" s="4">
        <f t="shared" si="4"/>
        <v>0</v>
      </c>
      <c r="Z53" s="3"/>
      <c r="AA53" s="17"/>
      <c r="AB53" s="17"/>
      <c r="AC53" s="6"/>
      <c r="AD53" s="3"/>
      <c r="AE53" s="3"/>
      <c r="AF53" s="7"/>
      <c r="AG53" s="30"/>
      <c r="AH53" s="30"/>
      <c r="AI53" s="30"/>
      <c r="AK53" s="14">
        <v>1</v>
      </c>
      <c r="AL53" s="17">
        <v>0</v>
      </c>
      <c r="AM53" s="3"/>
      <c r="AN53" s="4"/>
      <c r="AO53" s="3"/>
      <c r="AP53" s="17"/>
      <c r="AQ53" s="17"/>
      <c r="AR53" s="6"/>
      <c r="AS53" s="3"/>
      <c r="AT53" s="3"/>
      <c r="AU53" s="7"/>
    </row>
    <row r="54" spans="1:47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G54" s="14">
        <v>0</v>
      </c>
      <c r="H54" s="17">
        <v>0</v>
      </c>
      <c r="I54" s="6">
        <v>0</v>
      </c>
      <c r="J54" s="4">
        <f t="shared" si="0"/>
        <v>0</v>
      </c>
      <c r="K54" s="3">
        <v>0</v>
      </c>
      <c r="L54" s="17">
        <v>0</v>
      </c>
      <c r="M54" s="17">
        <f t="shared" si="1"/>
        <v>0</v>
      </c>
      <c r="N54" s="4">
        <f t="shared" si="2"/>
        <v>0</v>
      </c>
      <c r="O54" s="3"/>
      <c r="P54" s="6">
        <v>0</v>
      </c>
      <c r="Q54" s="7"/>
      <c r="R54" s="30">
        <v>0</v>
      </c>
      <c r="S54" s="30">
        <v>0</v>
      </c>
      <c r="T54" s="30">
        <f t="shared" si="3"/>
        <v>0</v>
      </c>
      <c r="V54" s="14">
        <v>0</v>
      </c>
      <c r="W54" s="17">
        <v>0</v>
      </c>
      <c r="X54" s="6">
        <v>0</v>
      </c>
      <c r="Y54" s="4">
        <f t="shared" si="4"/>
        <v>0</v>
      </c>
      <c r="Z54" s="3"/>
      <c r="AA54" s="17"/>
      <c r="AB54" s="17"/>
      <c r="AC54" s="6"/>
      <c r="AD54" s="3"/>
      <c r="AE54" s="3"/>
      <c r="AF54" s="7"/>
      <c r="AG54" s="30"/>
      <c r="AH54" s="30"/>
      <c r="AI54" s="30"/>
      <c r="AK54" s="14">
        <v>0</v>
      </c>
      <c r="AL54" s="17">
        <v>0</v>
      </c>
      <c r="AM54" s="3"/>
      <c r="AN54" s="4"/>
      <c r="AO54" s="3"/>
      <c r="AP54" s="17"/>
      <c r="AQ54" s="17"/>
      <c r="AR54" s="6"/>
      <c r="AS54" s="3"/>
      <c r="AT54" s="3"/>
      <c r="AU54" s="7"/>
    </row>
    <row r="55" spans="1:47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G55" s="14">
        <v>9.6731800000000003</v>
      </c>
      <c r="H55" s="17">
        <v>9</v>
      </c>
      <c r="I55" s="6">
        <v>-15.258212583699695</v>
      </c>
      <c r="J55" s="4">
        <f t="shared" si="0"/>
        <v>-1.6953569537444106</v>
      </c>
      <c r="K55" s="3">
        <v>105013.90728874327</v>
      </c>
      <c r="L55" s="17">
        <v>23.1</v>
      </c>
      <c r="M55" s="17">
        <f t="shared" si="1"/>
        <v>0</v>
      </c>
      <c r="N55" s="4">
        <f t="shared" si="2"/>
        <v>0</v>
      </c>
      <c r="O55" s="3"/>
      <c r="P55" s="6">
        <v>0</v>
      </c>
      <c r="Q55" s="7">
        <v>0.38961038961038963</v>
      </c>
      <c r="R55" s="30">
        <v>0</v>
      </c>
      <c r="S55" s="30">
        <v>0</v>
      </c>
      <c r="T55" s="30">
        <f t="shared" si="3"/>
        <v>0</v>
      </c>
      <c r="V55" s="14">
        <v>11.291679999999999</v>
      </c>
      <c r="W55" s="17">
        <v>13.9489</v>
      </c>
      <c r="X55" s="6">
        <v>-15.258212583699695</v>
      </c>
      <c r="Y55" s="4">
        <f t="shared" si="4"/>
        <v>-1.0938649344177458</v>
      </c>
      <c r="Z55" s="3"/>
      <c r="AA55" s="17"/>
      <c r="AB55" s="17"/>
      <c r="AC55" s="6"/>
      <c r="AD55" s="3"/>
      <c r="AE55" s="3"/>
      <c r="AF55" s="7"/>
      <c r="AG55" s="30"/>
      <c r="AH55" s="30"/>
      <c r="AI55" s="30"/>
      <c r="AK55" s="14">
        <v>39.549320000000002</v>
      </c>
      <c r="AL55" s="17">
        <v>11</v>
      </c>
      <c r="AM55" s="3"/>
      <c r="AN55" s="4"/>
      <c r="AO55" s="3"/>
      <c r="AP55" s="17"/>
      <c r="AQ55" s="17"/>
      <c r="AR55" s="6"/>
      <c r="AS55" s="3"/>
      <c r="AT55" s="3"/>
      <c r="AU55" s="7"/>
    </row>
    <row r="56" spans="1:47" x14ac:dyDescent="0.35">
      <c r="A56" s="3" t="s">
        <v>133</v>
      </c>
      <c r="B56" s="3" t="s">
        <v>70</v>
      </c>
      <c r="C56" s="3" t="s">
        <v>92</v>
      </c>
      <c r="D56" s="2" t="s">
        <v>119</v>
      </c>
      <c r="E56" s="3" t="s">
        <v>95</v>
      </c>
      <c r="G56" s="14"/>
      <c r="H56" s="17"/>
      <c r="I56" s="6"/>
      <c r="J56" s="4"/>
      <c r="K56" s="3"/>
      <c r="L56" s="17"/>
      <c r="M56" s="17">
        <f t="shared" si="1"/>
        <v>0</v>
      </c>
      <c r="N56" s="4">
        <f t="shared" si="2"/>
        <v>0</v>
      </c>
      <c r="O56" s="3"/>
      <c r="P56" s="6">
        <v>0</v>
      </c>
      <c r="Q56" s="7"/>
      <c r="R56" s="30">
        <v>0</v>
      </c>
      <c r="S56" s="30">
        <v>0</v>
      </c>
      <c r="T56" s="30">
        <f t="shared" si="3"/>
        <v>0</v>
      </c>
      <c r="V56" s="14">
        <v>0</v>
      </c>
      <c r="W56" s="17">
        <v>0.7581</v>
      </c>
      <c r="X56" s="6">
        <v>0</v>
      </c>
      <c r="Y56" s="4">
        <f t="shared" si="4"/>
        <v>0</v>
      </c>
      <c r="Z56" s="3"/>
      <c r="AA56" s="17"/>
      <c r="AB56" s="17"/>
      <c r="AC56" s="6"/>
      <c r="AD56" s="3"/>
      <c r="AE56" s="3"/>
      <c r="AF56" s="7"/>
      <c r="AG56" s="30"/>
      <c r="AH56" s="30"/>
      <c r="AI56" s="30"/>
      <c r="AK56" s="14"/>
      <c r="AL56" s="17"/>
      <c r="AM56" s="3"/>
      <c r="AN56" s="4"/>
      <c r="AO56" s="3"/>
      <c r="AP56" s="17"/>
      <c r="AQ56" s="17"/>
      <c r="AR56" s="6"/>
      <c r="AS56" s="3"/>
      <c r="AT56" s="3"/>
      <c r="AU56" s="7"/>
    </row>
    <row r="57" spans="1:47" x14ac:dyDescent="0.35">
      <c r="A57" s="3" t="s">
        <v>66</v>
      </c>
      <c r="B57" s="3" t="s">
        <v>66</v>
      </c>
      <c r="C57" s="3" t="s">
        <v>66</v>
      </c>
      <c r="D57" s="2" t="s">
        <v>118</v>
      </c>
      <c r="E57" s="3" t="s">
        <v>66</v>
      </c>
      <c r="G57" s="14">
        <v>6.3891</v>
      </c>
      <c r="H57" s="17">
        <v>2.9410600000000002</v>
      </c>
      <c r="I57" s="6">
        <v>0.97238000000000002</v>
      </c>
      <c r="J57" s="4">
        <f t="shared" si="0"/>
        <v>0.33062229264278864</v>
      </c>
      <c r="K57" s="3">
        <v>82908</v>
      </c>
      <c r="L57" s="17">
        <v>2.4</v>
      </c>
      <c r="M57" s="17">
        <f t="shared" si="1"/>
        <v>0</v>
      </c>
      <c r="N57" s="4">
        <f t="shared" si="2"/>
        <v>0</v>
      </c>
      <c r="O57" s="3"/>
      <c r="P57" s="6">
        <v>0</v>
      </c>
      <c r="Q57" s="7"/>
      <c r="R57" s="30">
        <v>0</v>
      </c>
      <c r="S57" s="30">
        <v>0</v>
      </c>
      <c r="T57" s="30">
        <f t="shared" si="3"/>
        <v>0</v>
      </c>
      <c r="V57" s="14">
        <v>23.275400000000001</v>
      </c>
      <c r="W57" s="17">
        <v>-0.69000000000000006</v>
      </c>
      <c r="X57" s="6">
        <v>0.97238000000000002</v>
      </c>
      <c r="Y57" s="4">
        <f t="shared" si="4"/>
        <v>-1.4092463768115941</v>
      </c>
      <c r="Z57" s="3"/>
      <c r="AA57" s="17"/>
      <c r="AB57" s="17"/>
      <c r="AC57" s="6"/>
      <c r="AD57" s="3"/>
      <c r="AE57" s="3"/>
      <c r="AF57" s="7"/>
      <c r="AG57" s="30"/>
      <c r="AH57" s="30"/>
      <c r="AI57" s="30"/>
      <c r="AK57" s="14">
        <v>7</v>
      </c>
      <c r="AL57" s="17">
        <v>0</v>
      </c>
      <c r="AM57" s="3"/>
      <c r="AN57" s="4"/>
      <c r="AO57" s="3"/>
      <c r="AP57" s="17"/>
      <c r="AQ57" s="17"/>
      <c r="AR57" s="6"/>
      <c r="AS57" s="3"/>
      <c r="AT57" s="3"/>
      <c r="AU57" s="7"/>
    </row>
    <row r="58" spans="1:47" x14ac:dyDescent="0.35">
      <c r="A58" s="3" t="s">
        <v>67</v>
      </c>
      <c r="B58" s="3" t="s">
        <v>67</v>
      </c>
      <c r="C58" s="3" t="s">
        <v>67</v>
      </c>
      <c r="D58" s="2" t="s">
        <v>118</v>
      </c>
      <c r="E58" s="3" t="s">
        <v>67</v>
      </c>
      <c r="G58" s="14">
        <v>4.165</v>
      </c>
      <c r="H58" s="17">
        <v>0</v>
      </c>
      <c r="I58" s="6">
        <v>-0.66493132707975189</v>
      </c>
      <c r="J58" s="4">
        <f t="shared" si="0"/>
        <v>0</v>
      </c>
      <c r="K58" s="3">
        <v>221643.77569325065</v>
      </c>
      <c r="L58" s="17">
        <v>0.3</v>
      </c>
      <c r="M58" s="17">
        <f t="shared" si="1"/>
        <v>0</v>
      </c>
      <c r="N58" s="4">
        <f t="shared" si="2"/>
        <v>0</v>
      </c>
      <c r="O58" s="3"/>
      <c r="P58" s="6">
        <v>0</v>
      </c>
      <c r="Q58" s="7"/>
      <c r="R58" s="30">
        <v>0</v>
      </c>
      <c r="S58" s="30">
        <v>0</v>
      </c>
      <c r="T58" s="30">
        <f t="shared" si="3"/>
        <v>0</v>
      </c>
      <c r="V58" s="14">
        <v>5.2478999999999996</v>
      </c>
      <c r="W58" s="17">
        <v>0</v>
      </c>
      <c r="X58" s="6">
        <v>-0.66493132707975189</v>
      </c>
      <c r="Y58" s="4">
        <f t="shared" si="4"/>
        <v>0</v>
      </c>
      <c r="Z58" s="3"/>
      <c r="AA58" s="17"/>
      <c r="AB58" s="17"/>
      <c r="AC58" s="6"/>
      <c r="AD58" s="3"/>
      <c r="AE58" s="3"/>
      <c r="AF58" s="7"/>
      <c r="AG58" s="30"/>
      <c r="AH58" s="30"/>
      <c r="AI58" s="30"/>
      <c r="AK58" s="14">
        <v>8</v>
      </c>
      <c r="AL58" s="17">
        <v>0</v>
      </c>
      <c r="AM58" s="3"/>
      <c r="AN58" s="4"/>
      <c r="AO58" s="3"/>
      <c r="AP58" s="17"/>
      <c r="AQ58" s="17"/>
      <c r="AR58" s="6"/>
      <c r="AS58" s="3"/>
      <c r="AT58" s="3"/>
      <c r="AU58" s="7"/>
    </row>
    <row r="59" spans="1:47" x14ac:dyDescent="0.35">
      <c r="A59" s="16" t="s">
        <v>96</v>
      </c>
      <c r="B59" s="16" t="s">
        <v>70</v>
      </c>
      <c r="C59" s="16" t="s">
        <v>86</v>
      </c>
      <c r="D59" s="2" t="s">
        <v>119</v>
      </c>
      <c r="E59" s="16" t="s">
        <v>2</v>
      </c>
      <c r="G59" s="14">
        <v>0</v>
      </c>
      <c r="H59" s="17">
        <v>0</v>
      </c>
      <c r="I59" s="6">
        <v>-1.6967321492637717</v>
      </c>
      <c r="J59" s="4">
        <f t="shared" si="0"/>
        <v>0</v>
      </c>
      <c r="K59" s="3">
        <v>48478.061407536334</v>
      </c>
      <c r="L59" s="17">
        <v>3.5</v>
      </c>
      <c r="M59" s="17">
        <f t="shared" si="1"/>
        <v>0</v>
      </c>
      <c r="N59" s="4">
        <f t="shared" si="2"/>
        <v>0</v>
      </c>
      <c r="O59" s="3"/>
      <c r="P59" s="6">
        <v>0</v>
      </c>
      <c r="Q59" s="7"/>
      <c r="R59" s="30">
        <v>0</v>
      </c>
      <c r="S59" s="30">
        <v>0</v>
      </c>
      <c r="T59" s="30">
        <f t="shared" si="3"/>
        <v>0</v>
      </c>
      <c r="V59" s="14">
        <v>0</v>
      </c>
      <c r="W59" s="17">
        <v>2</v>
      </c>
      <c r="X59" s="6">
        <v>-1.6967321492637717</v>
      </c>
      <c r="Y59" s="4">
        <f t="shared" si="4"/>
        <v>-0.84836607463188585</v>
      </c>
      <c r="Z59" s="3"/>
      <c r="AA59" s="17"/>
      <c r="AB59" s="17"/>
      <c r="AC59" s="6"/>
      <c r="AD59" s="3"/>
      <c r="AE59" s="3"/>
      <c r="AF59" s="7"/>
      <c r="AG59" s="30"/>
      <c r="AH59" s="30"/>
      <c r="AI59" s="30"/>
      <c r="AK59" s="14">
        <v>0</v>
      </c>
      <c r="AL59" s="17">
        <v>2</v>
      </c>
      <c r="AM59" s="3"/>
      <c r="AN59" s="4"/>
      <c r="AO59" s="3"/>
      <c r="AP59" s="17"/>
      <c r="AQ59" s="17"/>
      <c r="AR59" s="6"/>
      <c r="AS59" s="3"/>
      <c r="AT59" s="3"/>
      <c r="AU59" s="7"/>
    </row>
    <row r="60" spans="1:47" x14ac:dyDescent="0.35">
      <c r="A60" s="16" t="s">
        <v>97</v>
      </c>
      <c r="B60" s="16" t="s">
        <v>70</v>
      </c>
      <c r="C60" s="16" t="s">
        <v>86</v>
      </c>
      <c r="D60" s="2" t="s">
        <v>119</v>
      </c>
      <c r="E60" s="16" t="s">
        <v>2</v>
      </c>
      <c r="G60" s="14">
        <v>0</v>
      </c>
      <c r="H60" s="17">
        <v>1.75</v>
      </c>
      <c r="I60" s="6">
        <v>-8.140418678526061E-2</v>
      </c>
      <c r="J60" s="4">
        <f t="shared" si="0"/>
        <v>-4.6516678163006066E-2</v>
      </c>
      <c r="K60" s="3">
        <v>107729.65804619181</v>
      </c>
      <c r="L60" s="17">
        <v>1.7</v>
      </c>
      <c r="M60" s="17">
        <f t="shared" si="1"/>
        <v>0</v>
      </c>
      <c r="N60" s="4">
        <f t="shared" si="2"/>
        <v>0</v>
      </c>
      <c r="O60" s="3"/>
      <c r="P60" s="6">
        <v>0</v>
      </c>
      <c r="Q60" s="7">
        <v>1.0294117647058825</v>
      </c>
      <c r="R60" s="30">
        <v>0</v>
      </c>
      <c r="S60" s="30">
        <v>0</v>
      </c>
      <c r="T60" s="30">
        <f t="shared" si="3"/>
        <v>0</v>
      </c>
      <c r="V60" s="14">
        <v>0</v>
      </c>
      <c r="W60" s="17">
        <v>1.75</v>
      </c>
      <c r="X60" s="6">
        <v>-8.140418678526061E-2</v>
      </c>
      <c r="Y60" s="4">
        <f t="shared" si="4"/>
        <v>-4.6516678163006066E-2</v>
      </c>
      <c r="Z60" s="3"/>
      <c r="AA60" s="17"/>
      <c r="AB60" s="17"/>
      <c r="AC60" s="6"/>
      <c r="AD60" s="3"/>
      <c r="AE60" s="3"/>
      <c r="AF60" s="7"/>
      <c r="AG60" s="30"/>
      <c r="AH60" s="30"/>
      <c r="AI60" s="30"/>
      <c r="AK60" s="14">
        <v>0</v>
      </c>
      <c r="AL60" s="17">
        <v>1.75</v>
      </c>
      <c r="AM60" s="3"/>
      <c r="AN60" s="4"/>
      <c r="AO60" s="3"/>
      <c r="AP60" s="17"/>
      <c r="AQ60" s="17"/>
      <c r="AR60" s="6"/>
      <c r="AS60" s="3"/>
      <c r="AT60" s="3"/>
      <c r="AU60" s="7"/>
    </row>
    <row r="61" spans="1:47" x14ac:dyDescent="0.35">
      <c r="A61" s="16" t="s">
        <v>120</v>
      </c>
      <c r="B61" s="16" t="s">
        <v>120</v>
      </c>
      <c r="C61" s="16" t="s">
        <v>120</v>
      </c>
      <c r="D61" s="2" t="s">
        <v>118</v>
      </c>
      <c r="E61" s="16" t="s">
        <v>120</v>
      </c>
      <c r="G61" s="14">
        <f>217/3</f>
        <v>72.333333333333329</v>
      </c>
      <c r="H61" s="17">
        <v>0</v>
      </c>
      <c r="I61" s="6">
        <v>0</v>
      </c>
      <c r="J61" s="4">
        <f t="shared" si="0"/>
        <v>0</v>
      </c>
      <c r="K61" s="3" t="s">
        <v>132</v>
      </c>
      <c r="L61" s="17" t="s">
        <v>132</v>
      </c>
      <c r="M61" s="17">
        <f t="shared" si="1"/>
        <v>0</v>
      </c>
      <c r="N61" s="4">
        <f t="shared" si="2"/>
        <v>0</v>
      </c>
      <c r="O61" s="8"/>
      <c r="P61" s="6">
        <v>0</v>
      </c>
      <c r="Q61" s="7"/>
      <c r="R61" s="30">
        <v>0</v>
      </c>
      <c r="S61" s="30">
        <v>0</v>
      </c>
      <c r="T61" s="30">
        <f t="shared" si="3"/>
        <v>0</v>
      </c>
      <c r="V61" s="14">
        <v>72.333333333333329</v>
      </c>
      <c r="W61" s="17">
        <v>0</v>
      </c>
      <c r="X61" s="6">
        <v>0</v>
      </c>
      <c r="Y61" s="4">
        <f t="shared" si="4"/>
        <v>0</v>
      </c>
      <c r="Z61" s="16"/>
      <c r="AA61" s="22"/>
      <c r="AB61" s="17"/>
      <c r="AK61" s="14">
        <v>72.3</v>
      </c>
      <c r="AL61" s="17">
        <v>0</v>
      </c>
      <c r="AM61" s="3"/>
      <c r="AN61" s="4"/>
      <c r="AO61" s="16"/>
      <c r="AP61" s="22"/>
      <c r="AQ61" s="17"/>
    </row>
    <row r="62" spans="1:47" x14ac:dyDescent="0.35">
      <c r="A62" s="16" t="s">
        <v>121</v>
      </c>
      <c r="B62" s="16" t="s">
        <v>122</v>
      </c>
      <c r="C62" s="16" t="s">
        <v>122</v>
      </c>
      <c r="D62" s="23" t="s">
        <v>118</v>
      </c>
      <c r="E62" s="16" t="s">
        <v>122</v>
      </c>
      <c r="G62" s="14">
        <v>0</v>
      </c>
      <c r="H62" s="17">
        <v>0</v>
      </c>
      <c r="I62" s="6">
        <v>0</v>
      </c>
      <c r="J62" s="4">
        <f t="shared" si="0"/>
        <v>0</v>
      </c>
      <c r="K62" s="3" t="s">
        <v>132</v>
      </c>
      <c r="L62" s="17" t="s">
        <v>132</v>
      </c>
      <c r="M62" s="17">
        <f t="shared" si="1"/>
        <v>0</v>
      </c>
      <c r="N62" s="4">
        <f t="shared" si="2"/>
        <v>0</v>
      </c>
      <c r="O62" s="8"/>
      <c r="P62" s="6">
        <v>0</v>
      </c>
      <c r="Q62" s="7"/>
      <c r="R62" s="30">
        <v>0</v>
      </c>
      <c r="S62" s="30">
        <v>0</v>
      </c>
      <c r="T62" s="30">
        <f t="shared" si="3"/>
        <v>0</v>
      </c>
      <c r="V62" s="14">
        <v>0</v>
      </c>
      <c r="W62" s="17">
        <v>11.5</v>
      </c>
      <c r="X62" s="6">
        <v>0</v>
      </c>
      <c r="Y62" s="4">
        <f t="shared" si="4"/>
        <v>0</v>
      </c>
      <c r="AA62" s="22"/>
      <c r="AK62" s="14">
        <v>0</v>
      </c>
      <c r="AL62" s="17">
        <v>12.5</v>
      </c>
      <c r="AM62" s="3"/>
      <c r="AN62" s="4"/>
      <c r="AP62" s="22"/>
    </row>
    <row r="63" spans="1:47" x14ac:dyDescent="0.35">
      <c r="A63" s="16" t="s">
        <v>129</v>
      </c>
      <c r="B63" s="16" t="s">
        <v>83</v>
      </c>
      <c r="C63" s="16" t="s">
        <v>130</v>
      </c>
      <c r="D63" s="23" t="s">
        <v>119</v>
      </c>
      <c r="E63" s="16" t="s">
        <v>95</v>
      </c>
      <c r="G63" s="8"/>
      <c r="H63" s="8"/>
      <c r="I63" s="6">
        <v>0</v>
      </c>
      <c r="J63" s="8"/>
      <c r="K63" s="3" t="s">
        <v>132</v>
      </c>
      <c r="L63" s="17" t="s">
        <v>132</v>
      </c>
      <c r="M63" s="17">
        <f t="shared" si="1"/>
        <v>0</v>
      </c>
      <c r="N63" s="4">
        <f t="shared" si="2"/>
        <v>0</v>
      </c>
      <c r="O63" s="8"/>
      <c r="P63" s="6">
        <v>0</v>
      </c>
      <c r="Q63" s="7"/>
      <c r="R63" s="30">
        <v>0</v>
      </c>
      <c r="S63" s="30">
        <v>0</v>
      </c>
      <c r="T63" s="30">
        <f t="shared" si="3"/>
        <v>0</v>
      </c>
      <c r="W63" s="17">
        <v>2.12</v>
      </c>
      <c r="X63" s="6">
        <v>0</v>
      </c>
      <c r="Y63" s="4">
        <f t="shared" si="4"/>
        <v>0</v>
      </c>
      <c r="AL63" s="17">
        <v>1.06</v>
      </c>
    </row>
    <row r="64" spans="1:47" x14ac:dyDescent="0.35">
      <c r="A64" s="16" t="s">
        <v>131</v>
      </c>
      <c r="B64" s="16" t="s">
        <v>83</v>
      </c>
      <c r="C64" s="16" t="s">
        <v>88</v>
      </c>
      <c r="D64" s="23" t="s">
        <v>118</v>
      </c>
      <c r="E64" s="16" t="s">
        <v>71</v>
      </c>
      <c r="I64" s="29">
        <v>-1.460979459787727</v>
      </c>
      <c r="K64" s="3">
        <v>442721.04842052335</v>
      </c>
      <c r="L64" s="17">
        <v>0.33</v>
      </c>
      <c r="M64" s="17">
        <f t="shared" si="1"/>
        <v>0</v>
      </c>
      <c r="N64" s="4">
        <f t="shared" si="2"/>
        <v>0</v>
      </c>
      <c r="P64" s="6">
        <v>0</v>
      </c>
      <c r="Q64" s="7"/>
      <c r="R64" s="30">
        <v>0</v>
      </c>
      <c r="S64" s="30">
        <v>0</v>
      </c>
      <c r="T64" s="30">
        <f t="shared" si="3"/>
        <v>0</v>
      </c>
      <c r="W64" s="17">
        <v>0</v>
      </c>
      <c r="X64" s="6">
        <v>-1.460979459787727</v>
      </c>
      <c r="Y64" s="4">
        <f t="shared" si="4"/>
        <v>0</v>
      </c>
    </row>
    <row r="66" spans="8:20" x14ac:dyDescent="0.35">
      <c r="H66" s="18"/>
      <c r="I66" s="18"/>
      <c r="J66" s="38"/>
      <c r="T66" s="18"/>
    </row>
  </sheetData>
  <mergeCells count="3">
    <mergeCell ref="G1:T1"/>
    <mergeCell ref="V1:AI1"/>
    <mergeCell ref="AK1:AX1"/>
  </mergeCells>
  <conditionalFormatting sqref="A3:A6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2026-06-05T07:34:35Z</dcterms:modified>
</cp:coreProperties>
</file>