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916" documentId="8_{231760F8-40C3-4E52-9138-CD9DD8E2170C}" xr6:coauthVersionLast="47" xr6:coauthVersionMax="47" xr10:uidLastSave="{446B9353-8779-494B-AF09-1A7BF0B565E9}"/>
  <bookViews>
    <workbookView xWindow="-110" yWindow="-110" windowWidth="19420" windowHeight="11500" xr2:uid="{F2C8E0B5-D69E-42FC-A0A4-20379F29D696}"/>
  </bookViews>
  <sheets>
    <sheet name="Sheet1" sheetId="1" r:id="rId1"/>
    <sheet name="Actual" sheetId="2" r:id="rId2"/>
  </sheets>
  <definedNames>
    <definedName name="_xlnm._FilterDatabase" localSheetId="1" hidden="1">Actual!$A$2:$AO$61</definedName>
    <definedName name="_xlnm._FilterDatabase" localSheetId="0" hidden="1">Sheet1!$A$2:$BZ$62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Y60" i="1" l="1"/>
  <c r="BP23" i="1"/>
  <c r="BP22" i="1"/>
  <c r="BC59" i="1"/>
  <c r="BC60" i="1"/>
  <c r="BC61" i="1"/>
  <c r="BC62" i="1"/>
  <c r="BB59" i="1"/>
  <c r="BB60" i="1"/>
  <c r="BB61" i="1"/>
  <c r="BB62" i="1"/>
  <c r="BA59" i="1"/>
  <c r="BA60" i="1"/>
  <c r="BA61" i="1"/>
  <c r="BA62" i="1"/>
  <c r="AZ60" i="1"/>
  <c r="AZ61" i="1"/>
  <c r="AZ62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S50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G60" i="2"/>
  <c r="P22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3" i="2"/>
  <c r="AN60" i="1"/>
  <c r="AC60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Z4" i="1"/>
  <c r="AZ7" i="1"/>
  <c r="AZ12" i="1"/>
  <c r="AZ13" i="1"/>
  <c r="AZ15" i="1"/>
  <c r="AZ16" i="1"/>
  <c r="AZ18" i="1"/>
  <c r="AZ19" i="1"/>
  <c r="AZ20" i="1"/>
  <c r="AZ23" i="1"/>
  <c r="AZ26" i="1"/>
  <c r="AZ27" i="1"/>
  <c r="AZ30" i="1"/>
  <c r="AZ34" i="1"/>
  <c r="AZ37" i="1"/>
  <c r="AZ38" i="1"/>
  <c r="AZ41" i="1"/>
  <c r="AZ43" i="1"/>
  <c r="AZ44" i="1"/>
  <c r="AZ45" i="1"/>
  <c r="AZ46" i="1"/>
  <c r="AZ48" i="1"/>
  <c r="AZ50" i="1"/>
  <c r="AZ51" i="1"/>
  <c r="AZ52" i="1"/>
  <c r="AZ53" i="1"/>
  <c r="AZ56" i="1"/>
  <c r="AZ57" i="1"/>
  <c r="AZ58" i="1"/>
  <c r="AZ59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3" i="1"/>
  <c r="AZ3" i="1"/>
  <c r="AY3" i="1"/>
  <c r="AS4" i="1"/>
  <c r="BD4" i="1" s="1"/>
  <c r="AS5" i="1"/>
  <c r="AS6" i="1"/>
  <c r="AS7" i="1"/>
  <c r="BD7" i="1" s="1"/>
  <c r="AS8" i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AS20" i="1"/>
  <c r="AS21" i="1"/>
  <c r="BD21" i="1" s="1"/>
  <c r="AS22" i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AS31" i="1"/>
  <c r="BD31" i="1" s="1"/>
  <c r="AS32" i="1"/>
  <c r="BD32" i="1" s="1"/>
  <c r="AS33" i="1"/>
  <c r="AS34" i="1"/>
  <c r="BD34" i="1" s="1"/>
  <c r="AS35" i="1"/>
  <c r="BD35" i="1" s="1"/>
  <c r="AS36" i="1"/>
  <c r="AS37" i="1"/>
  <c r="BD37" i="1" s="1"/>
  <c r="AS38" i="1"/>
  <c r="BD38" i="1" s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AS48" i="1"/>
  <c r="BD48" i="1" s="1"/>
  <c r="AS49" i="1"/>
  <c r="BD49" i="1" s="1"/>
  <c r="AS50" i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3" i="1"/>
  <c r="BC3" i="1"/>
  <c r="J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C5" i="1"/>
  <c r="BC6" i="1"/>
  <c r="BC7" i="1"/>
  <c r="BC8" i="1"/>
  <c r="BC9" i="1"/>
  <c r="BC19" i="1"/>
  <c r="BC23" i="1"/>
  <c r="BC33" i="1"/>
  <c r="BB4" i="1" l="1"/>
  <c r="BB19" i="1"/>
  <c r="BB46" i="1"/>
  <c r="BB15" i="1"/>
  <c r="BB52" i="1"/>
  <c r="BB18" i="1"/>
  <c r="BB13" i="1"/>
  <c r="BB37" i="1"/>
  <c r="BD50" i="1"/>
  <c r="BD8" i="1"/>
  <c r="BD20" i="1"/>
  <c r="BD6" i="1"/>
  <c r="BD47" i="1"/>
  <c r="BD33" i="1"/>
  <c r="BD19" i="1"/>
  <c r="BD5" i="1"/>
  <c r="BD22" i="1"/>
  <c r="BD36" i="1"/>
  <c r="BD30" i="1"/>
  <c r="BB12" i="1"/>
  <c r="BB16" i="1"/>
  <c r="BB7" i="1"/>
  <c r="BB20" i="1"/>
  <c r="BB3" i="1"/>
  <c r="BB43" i="1"/>
  <c r="BB56" i="1"/>
  <c r="BB41" i="1"/>
  <c r="BB27" i="1"/>
  <c r="BB57" i="1"/>
  <c r="BB38" i="1"/>
  <c r="BB51" i="1"/>
  <c r="BB23" i="1"/>
  <c r="BB34" i="1"/>
  <c r="BB45" i="1"/>
  <c r="BB26" i="1"/>
  <c r="BB53" i="1"/>
  <c r="BB50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R17" i="1"/>
  <c r="BR24" i="1"/>
  <c r="BR29" i="1"/>
  <c r="BR20" i="1"/>
  <c r="BR56" i="1"/>
  <c r="BR44" i="1"/>
  <c r="AZ11" i="1" l="1"/>
  <c r="BB11" i="1" s="1"/>
  <c r="AZ14" i="1"/>
  <c r="BB14" i="1" s="1"/>
  <c r="AZ42" i="1"/>
  <c r="BB42" i="1" s="1"/>
  <c r="AZ17" i="1"/>
  <c r="BB17" i="1" s="1"/>
  <c r="AZ47" i="1"/>
  <c r="BB47" i="1" s="1"/>
  <c r="AZ21" i="1"/>
  <c r="BB21" i="1" s="1"/>
  <c r="AZ49" i="1"/>
  <c r="BB49" i="1" s="1"/>
  <c r="AZ24" i="1"/>
  <c r="BB24" i="1" s="1"/>
  <c r="AZ25" i="1"/>
  <c r="BB25" i="1" s="1"/>
  <c r="AZ22" i="1"/>
  <c r="BB22" i="1" s="1"/>
  <c r="AZ28" i="1"/>
  <c r="BB28" i="1" s="1"/>
  <c r="AZ54" i="1"/>
  <c r="BB54" i="1" s="1"/>
  <c r="AZ29" i="1"/>
  <c r="BB29" i="1" s="1"/>
  <c r="AZ55" i="1"/>
  <c r="BB55" i="1" s="1"/>
  <c r="AZ31" i="1"/>
  <c r="BB31" i="1" s="1"/>
  <c r="AZ5" i="1"/>
  <c r="BB5" i="1" s="1"/>
  <c r="AZ32" i="1"/>
  <c r="BB32" i="1" s="1"/>
  <c r="AZ6" i="1"/>
  <c r="BB6" i="1" s="1"/>
  <c r="AZ33" i="1"/>
  <c r="BB33" i="1" s="1"/>
  <c r="AZ8" i="1"/>
  <c r="BB8" i="1" s="1"/>
  <c r="AZ35" i="1"/>
  <c r="BB35" i="1" s="1"/>
  <c r="AZ9" i="1"/>
  <c r="BB9" i="1" s="1"/>
  <c r="AZ36" i="1"/>
  <c r="BB36" i="1" s="1"/>
  <c r="AZ10" i="1"/>
  <c r="BB10" i="1" s="1"/>
  <c r="AZ39" i="1"/>
  <c r="BB39" i="1" s="1"/>
  <c r="AZ40" i="1"/>
  <c r="BB40" i="1" s="1"/>
</calcChain>
</file>

<file path=xl/sharedStrings.xml><?xml version="1.0" encoding="utf-8"?>
<sst xmlns="http://schemas.openxmlformats.org/spreadsheetml/2006/main" count="1088" uniqueCount="131">
  <si>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</si>
  <si>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</si>
  <si>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</si>
  <si>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</si>
  <si>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</si>
  <si>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</si>
  <si>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</si>
  <si>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</si>
  <si>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</si>
  <si>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</si>
  <si>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</si>
  <si>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</si>
  <si>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</si>
  <si>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</si>
  <si>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</si>
  <si>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</si>
  <si>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</si>
  <si>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</si>
  <si>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</si>
  <si>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</si>
  <si>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</si>
  <si>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</si>
  <si>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</si>
  <si>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</si>
  <si>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</si>
  <si>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</si>
  <si>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</si>
  <si>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</si>
  <si>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</si>
  <si>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</si>
  <si>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</si>
  <si>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</si>
  <si>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</si>
  <si>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</si>
  <si>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</si>
  <si>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</si>
  <si>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</si>
  <si>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</si>
  <si>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</si>
  <si>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</si>
  <si>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</si>
  <si>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</si>
  <si>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</si>
  <si>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</si>
  <si>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</si>
  <si>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</si>
  <si>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</si>
  <si>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</si>
  <si>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</si>
  <si>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</si>
  <si>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</si>
  <si>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</si>
  <si>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</si>
  <si>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</si>
  <si>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</si>
  <si>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</si>
  <si>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</si>
  <si>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</si>
  <si>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</si>
  <si>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</si>
  <si>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</si>
  <si>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</si>
  <si>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</si>
  <si>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</si>
  <si>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</si>
  <si>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</si>
  <si>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</si>
  <si>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</si>
  <si>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</si>
  <si>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</si>
  <si>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</si>
  <si>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</si>
  <si>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</si>
  <si>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</si>
  <si>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</si>
  <si>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</si>
  <si>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</si>
  <si>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</si>
  <si>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</si>
  <si>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</si>
  <si>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</si>
  <si>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</si>
  <si>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</si>
  <si>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</si>
  <si>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</si>
  <si>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</si>
  <si>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</si>
  <si>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</si>
  <si>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</si>
  <si>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</si>
  <si>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</si>
  <si>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</si>
  <si>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</si>
  <si>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</si>
  <si>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</si>
  <si>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</si>
  <si>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</si>
  <si>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</si>
  <si>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</si>
  <si>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</si>
  <si>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</si>
  <si>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</si>
  <si>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</si>
  <si>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</si>
  <si>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</si>
  <si>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</si>
  <si>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</si>
  <si>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</si>
  <si>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</si>
  <si>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</si>
  <si>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</si>
  <si>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</si>
  <si>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</si>
  <si>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</si>
  <si>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</si>
  <si>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</si>
  <si>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</si>
  <si>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</si>
  <si>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</si>
  <si>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</si>
  <si>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</si>
  <si>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</si>
  <si>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</si>
  <si>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</si>
  <si>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</si>
  <si>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</si>
  <si>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</si>
  <si>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</si>
  <si>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</si>
  <si>
    <t>LAAP India</t>
  </si>
  <si>
    <t>Abhilash Ranjan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</si>
</sst>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2"/>
  <sheetViews>
    <sheetView tabSelected="1" workbookViewId="0">
      <pane xSplit="1" ySplit="2" topLeftCell="E3" activePane="bottomRight" state="frozen"/>
      <selection pane="topRight" activeCell="B1" sqref="B1"/>
      <selection pane="bottomLeft" activeCell="A3" sqref="A3"/>
      <selection pane="bottomRight" activeCell="A2" sqref="A2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6" t="s">
        <v>24</v>
      </c>
      <c r="H1" s="26"/>
      <c r="I1" s="26"/>
      <c r="J1" s="26"/>
      <c r="K1" s="26"/>
      <c r="L1" s="26"/>
      <c r="M1" s="26"/>
      <c r="N1" s="26"/>
      <c r="O1" s="26"/>
      <c r="P1" s="26"/>
      <c r="R1" s="26" t="s">
        <v>29</v>
      </c>
      <c r="S1" s="26"/>
      <c r="T1" s="26"/>
      <c r="U1" s="26"/>
      <c r="V1" s="26"/>
      <c r="W1" s="26"/>
      <c r="X1" s="26"/>
      <c r="Y1" s="26"/>
      <c r="Z1" s="26"/>
      <c r="AA1" s="26"/>
      <c r="AC1" s="26" t="s">
        <v>31</v>
      </c>
      <c r="AD1" s="26"/>
      <c r="AE1" s="26"/>
      <c r="AF1" s="26"/>
      <c r="AG1" s="26"/>
      <c r="AH1" s="26"/>
      <c r="AI1" s="26"/>
      <c r="AJ1" s="26"/>
      <c r="AK1" s="26"/>
      <c r="AL1" s="26"/>
      <c r="AN1" s="26" t="s">
        <v>32</v>
      </c>
      <c r="AO1" s="26"/>
      <c r="AP1" s="26"/>
      <c r="AQ1" s="26"/>
      <c r="AR1" s="26"/>
      <c r="AS1" s="26"/>
      <c r="AT1" s="26"/>
      <c r="AU1" s="26"/>
      <c r="AV1" s="26"/>
      <c r="AW1" s="26"/>
      <c r="AY1" s="27" t="s">
        <v>33</v>
      </c>
      <c r="AZ1" s="27"/>
      <c r="BA1" s="27"/>
      <c r="BB1" s="27"/>
      <c r="BC1" s="27"/>
      <c r="BD1" s="27"/>
      <c r="BE1" s="27"/>
      <c r="BF1" s="27"/>
      <c r="BG1" s="27"/>
      <c r="BH1" s="27"/>
      <c r="BJ1" s="26" t="s">
        <v>76</v>
      </c>
      <c r="BK1" s="26"/>
      <c r="BL1" s="26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57.333333333333336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57.333333333333336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57.333333333333336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57.333333333333336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7">
        <f t="shared" ref="BD3:BD34" si="1">AVERAGE(L3,W3,AH3,AS3)</f>
        <v>57.333333333333336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1" si="2">IFERROR(I4/H4,0)</f>
        <v>-5.3475158859134571E-2</v>
      </c>
      <c r="K4" s="3">
        <v>173405.52273207638</v>
      </c>
      <c r="L4" s="17">
        <v>2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62" si="3">IFERROR(T4/S4,0)</f>
        <v>-1.2889529000634083</v>
      </c>
      <c r="V4" s="3">
        <v>190746.07500528404</v>
      </c>
      <c r="W4" s="17">
        <v>2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2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2</v>
      </c>
      <c r="AT4" s="17"/>
      <c r="AU4" s="17"/>
      <c r="AV4" s="3"/>
      <c r="AW4" s="7">
        <v>0</v>
      </c>
      <c r="AY4" s="17">
        <f t="shared" ref="AY4:AY60" si="5">R4+AC4+AN4+G4</f>
        <v>20</v>
      </c>
      <c r="AZ4" s="17">
        <f t="shared" ref="AZ4:AZ62" si="6">S4+AD4+AO4+H4</f>
        <v>24.876199999999997</v>
      </c>
      <c r="BA4" s="17">
        <f t="shared" ref="BA4:BA62" si="7">T4+AE4+AP4+I4</f>
        <v>-19.862424864875713</v>
      </c>
      <c r="BB4" s="4">
        <f t="shared" ref="BB4:BB62" si="8">IFERROR(BA4/AZ4,0)</f>
        <v>-0.79845092356853997</v>
      </c>
      <c r="BC4" s="3">
        <f t="shared" si="0"/>
        <v>186410.93693698212</v>
      </c>
      <c r="BD4" s="7">
        <f t="shared" si="1"/>
        <v>2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v>2.25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23.299676599999998</v>
      </c>
      <c r="I5" s="3">
        <v>11.183573396464103</v>
      </c>
      <c r="J5" s="4">
        <f t="shared" si="2"/>
        <v>0.47998835299130738</v>
      </c>
      <c r="K5" s="3">
        <v>100967.52669613245</v>
      </c>
      <c r="L5" s="17">
        <v>4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4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4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4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79.299676599999998</v>
      </c>
      <c r="BA5" s="17">
        <f t="shared" si="7"/>
        <v>27.200432824795655</v>
      </c>
      <c r="BB5" s="4">
        <f t="shared" si="8"/>
        <v>0.34300811795234554</v>
      </c>
      <c r="BC5" s="3">
        <f t="shared" si="0"/>
        <v>108540.0911983424</v>
      </c>
      <c r="BD5" s="7">
        <f t="shared" si="1"/>
        <v>4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79.400000000000006</v>
      </c>
      <c r="I6" s="3">
        <v>27.4271422010303</v>
      </c>
      <c r="J6" s="4">
        <f t="shared" si="2"/>
        <v>0.34543000253186773</v>
      </c>
      <c r="K6" s="3">
        <v>110580.54850844618</v>
      </c>
      <c r="L6" s="17">
        <v>15.666666666666666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15.666666666666666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15.666666666666666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15.666666666666666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245.4</v>
      </c>
      <c r="BA6" s="17">
        <f t="shared" si="7"/>
        <v>21.916711464430243</v>
      </c>
      <c r="BB6" s="4">
        <f t="shared" si="8"/>
        <v>8.9310152666789905E-2</v>
      </c>
      <c r="BC6" s="3">
        <f t="shared" si="0"/>
        <v>118874.08964657965</v>
      </c>
      <c r="BD6" s="7">
        <f t="shared" si="1"/>
        <v>15.666666666666666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v>50.66</v>
      </c>
      <c r="BP6"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6</v>
      </c>
      <c r="M7" s="17"/>
      <c r="N7" s="6"/>
      <c r="O7" s="3"/>
      <c r="P7" s="7">
        <v>1.2745666666666666</v>
      </c>
      <c r="Q7" s="15"/>
      <c r="R7" s="7">
        <v>27.4</v>
      </c>
      <c r="S7" s="7">
        <v>19.09</v>
      </c>
      <c r="T7" s="3">
        <v>-0.96965738662003176</v>
      </c>
      <c r="U7" s="4">
        <f t="shared" si="3"/>
        <v>-5.0793996156104339E-2</v>
      </c>
      <c r="V7" s="3">
        <v>111442.54103677796</v>
      </c>
      <c r="W7" s="17">
        <v>6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6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6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105.4085</v>
      </c>
      <c r="BA7" s="17">
        <f t="shared" si="7"/>
        <v>26.993475670485338</v>
      </c>
      <c r="BB7" s="4">
        <f t="shared" si="8"/>
        <v>0.25608443029248434</v>
      </c>
      <c r="BC7" s="3">
        <f t="shared" si="0"/>
        <v>108909.75601321482</v>
      </c>
      <c r="BD7" s="7">
        <f t="shared" si="1"/>
        <v>6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v>39.369999999999997</v>
      </c>
      <c r="BP7">
        <v>6.11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35.332499999999996</v>
      </c>
      <c r="I8" s="3">
        <v>10.587499999999995</v>
      </c>
      <c r="J8" s="4">
        <f t="shared" si="2"/>
        <v>0.29965329370975718</v>
      </c>
      <c r="K8" s="3">
        <v>101000</v>
      </c>
      <c r="L8" s="17">
        <v>8.1666666666666661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8.1666666666666661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8.1666666666666661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8.1666666666666661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137.03249999999997</v>
      </c>
      <c r="BA8" s="17">
        <f t="shared" si="7"/>
        <v>30.628999999999987</v>
      </c>
      <c r="BB8" s="4">
        <f t="shared" si="8"/>
        <v>0.22351631912137626</v>
      </c>
      <c r="BC8" s="3">
        <f t="shared" si="0"/>
        <v>108575</v>
      </c>
      <c r="BD8" s="7">
        <f t="shared" si="1"/>
        <v>8.1666666666666661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v>2.15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24.630000000000003</v>
      </c>
      <c r="I9" s="3">
        <v>-1.0278053411884613</v>
      </c>
      <c r="J9" s="4">
        <f t="shared" si="2"/>
        <v>-4.1729814908179508E-2</v>
      </c>
      <c r="K9" s="3">
        <v>80180.641691213954</v>
      </c>
      <c r="L9" s="17">
        <v>10.666666666666666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10.666666666666666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10.666666666666666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10.666666666666666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168.63</v>
      </c>
      <c r="BA9" s="17">
        <f t="shared" si="7"/>
        <v>58.301437032889602</v>
      </c>
      <c r="BB9" s="4">
        <f t="shared" si="8"/>
        <v>0.34573585383911287</v>
      </c>
      <c r="BC9" s="3">
        <f t="shared" si="0"/>
        <v>86194.189818055005</v>
      </c>
      <c r="BD9" s="7">
        <f t="shared" si="1"/>
        <v>10.666666666666666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10.270737799999999</v>
      </c>
      <c r="I10" s="3">
        <v>3.946138567772473</v>
      </c>
      <c r="J10" s="4">
        <f t="shared" si="2"/>
        <v>0.38421179126707655</v>
      </c>
      <c r="K10" s="3">
        <v>105409.9872037921</v>
      </c>
      <c r="L10" s="17">
        <v>2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2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2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2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48.270737799999999</v>
      </c>
      <c r="BA10" s="17">
        <f t="shared" si="7"/>
        <v>21.074961101421636</v>
      </c>
      <c r="BB10" s="4">
        <f t="shared" si="8"/>
        <v>0.43659910873418711</v>
      </c>
      <c r="BC10" s="3">
        <f t="shared" si="0"/>
        <v>113315.73624407653</v>
      </c>
      <c r="BD10" s="7">
        <f t="shared" si="1"/>
        <v>2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39.39</v>
      </c>
      <c r="I11" s="3">
        <v>15.332275115075429</v>
      </c>
      <c r="J11" s="4">
        <f t="shared" si="2"/>
        <v>0.38924283105040441</v>
      </c>
      <c r="K11" s="3">
        <v>92529.711095863735</v>
      </c>
      <c r="L11" s="17">
        <v>8.6666666666666661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8.6666666666666661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8.6666666666666661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8.6666666666666661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182.99</v>
      </c>
      <c r="BA11" s="17">
        <f t="shared" si="7"/>
        <v>79.541782994824345</v>
      </c>
      <c r="BB11" s="4">
        <f t="shared" si="8"/>
        <v>0.43467830479711644</v>
      </c>
      <c r="BC11" s="3">
        <f t="shared" si="0"/>
        <v>99469.439428053534</v>
      </c>
      <c r="BD11" s="7">
        <f t="shared" si="1"/>
        <v>8.6666666666666661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/>
      <c r="BP11">
        <v>5.23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v>413</v>
      </c>
      <c r="I12" s="3">
        <v>177.45506157435264</v>
      </c>
      <c r="J12" s="4">
        <f t="shared" si="2"/>
        <v>0.42967327257712506</v>
      </c>
      <c r="K12" s="3">
        <v>139210.95651634005</v>
      </c>
      <c r="L12" s="17">
        <v>56.4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338</v>
      </c>
      <c r="T12" s="3">
        <v>78.900567731787874</v>
      </c>
      <c r="U12" s="4">
        <f t="shared" si="3"/>
        <v>0.23343363234256767</v>
      </c>
      <c r="V12" s="3">
        <v>153132.05216797406</v>
      </c>
      <c r="W12" s="17">
        <v>56.4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56.4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56.4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1472.5760294000002</v>
      </c>
      <c r="BA12" s="17">
        <f t="shared" si="7"/>
        <v>459.73279416971627</v>
      </c>
      <c r="BB12" s="4">
        <f t="shared" si="8"/>
        <v>0.31219630429339124</v>
      </c>
      <c r="BC12" s="3">
        <f t="shared" si="0"/>
        <v>149651.77825506555</v>
      </c>
      <c r="BD12" s="7">
        <f t="shared" si="1"/>
        <v>56.4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2.4</v>
      </c>
      <c r="M13" s="17"/>
      <c r="N13" s="6"/>
      <c r="O13" s="3"/>
      <c r="P13" s="7">
        <v>4.9283333333333337</v>
      </c>
      <c r="Q13" s="15"/>
      <c r="R13" s="7">
        <v>27</v>
      </c>
      <c r="S13" s="7">
        <v>15</v>
      </c>
      <c r="T13" s="3">
        <v>4.8723120736915924</v>
      </c>
      <c r="U13" s="4">
        <f t="shared" si="3"/>
        <v>0.32482080491277282</v>
      </c>
      <c r="V13" s="3">
        <v>140662.332309839</v>
      </c>
      <c r="W13" s="17">
        <v>2.4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2.4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2.4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72.784999999999997</v>
      </c>
      <c r="BA13" s="17">
        <f t="shared" si="7"/>
        <v>33.194947197158044</v>
      </c>
      <c r="BB13" s="4">
        <f t="shared" si="8"/>
        <v>0.45606851957351163</v>
      </c>
      <c r="BC13" s="3">
        <f t="shared" si="0"/>
        <v>137465.46112097902</v>
      </c>
      <c r="BD13" s="7">
        <f t="shared" si="1"/>
        <v>2.4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v>3.78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1.3499999999999999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7">
        <f t="shared" si="1"/>
        <v>0.33749999999999997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/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7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3.6666666666666665</v>
      </c>
      <c r="M16" s="17"/>
      <c r="N16" s="6"/>
      <c r="O16" s="3"/>
      <c r="P16" s="7">
        <v>2.2652816666666666</v>
      </c>
      <c r="Q16" s="15"/>
      <c r="R16" s="7">
        <v>13</v>
      </c>
      <c r="S16" s="7">
        <v>4</v>
      </c>
      <c r="T16" s="3">
        <v>-6.2237326598422573</v>
      </c>
      <c r="U16" s="4">
        <f t="shared" si="3"/>
        <v>-1.5559331649605643</v>
      </c>
      <c r="V16" s="3">
        <v>92943.024180384149</v>
      </c>
      <c r="W16" s="17">
        <v>3.6666666666666665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3.6666666666666665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3.6666666666666665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40.59169</v>
      </c>
      <c r="BA16" s="17">
        <f t="shared" si="7"/>
        <v>0.62618960243481325</v>
      </c>
      <c r="BB16" s="4">
        <f t="shared" si="8"/>
        <v>1.5426546725076321E-2</v>
      </c>
      <c r="BC16" s="3">
        <f t="shared" si="0"/>
        <v>90830.682721739053</v>
      </c>
      <c r="BD16" s="7">
        <f t="shared" si="1"/>
        <v>3.6666666666666665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/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380.6077823</v>
      </c>
      <c r="I17" s="3">
        <v>153.39413898733835</v>
      </c>
      <c r="J17" s="4">
        <f t="shared" si="2"/>
        <v>0.40302417901279564</v>
      </c>
      <c r="K17" s="3">
        <v>93889.935253165968</v>
      </c>
      <c r="L17" s="17">
        <v>80.666666666666671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80.666666666666671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80.666666666666671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80.666666666666671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1460.6077823000001</v>
      </c>
      <c r="BA17" s="17">
        <f t="shared" si="7"/>
        <v>483.58911605555488</v>
      </c>
      <c r="BB17" s="4">
        <f t="shared" si="8"/>
        <v>0.33108759375090646</v>
      </c>
      <c r="BC17" s="3">
        <f t="shared" si="0"/>
        <v>100931.68039715342</v>
      </c>
      <c r="BD17" s="7">
        <f t="shared" si="1"/>
        <v>80.666666666666671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75.491083500000002</v>
      </c>
      <c r="I18" s="3">
        <v>36.298225002405729</v>
      </c>
      <c r="J18" s="4">
        <f t="shared" si="2"/>
        <v>0.48082797755056367</v>
      </c>
      <c r="K18" s="3">
        <v>130642.86165864758</v>
      </c>
      <c r="L18" s="17">
        <v>10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10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10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10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255.4910835</v>
      </c>
      <c r="BA18" s="17">
        <f t="shared" si="7"/>
        <v>86.961791960344613</v>
      </c>
      <c r="BB18" s="4">
        <f t="shared" si="8"/>
        <v>0.34037114238604971</v>
      </c>
      <c r="BC18" s="3">
        <f t="shared" si="0"/>
        <v>140441.07628304616</v>
      </c>
      <c r="BD18" s="7">
        <f t="shared" si="1"/>
        <v>10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12.199999999999998</v>
      </c>
      <c r="M19" s="17"/>
      <c r="N19" s="6"/>
      <c r="O19" s="3"/>
      <c r="P19" s="7">
        <v>2.86625</v>
      </c>
      <c r="Q19" s="15"/>
      <c r="R19" s="7">
        <v>150</v>
      </c>
      <c r="S19" s="7">
        <v>69</v>
      </c>
      <c r="T19" s="3">
        <v>29.213228125290236</v>
      </c>
      <c r="U19" s="4">
        <f t="shared" si="3"/>
        <v>0.42338011775782952</v>
      </c>
      <c r="V19" s="3">
        <v>108707.02698008134</v>
      </c>
      <c r="W19" s="17">
        <v>12.199999999999998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12.199999999999998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12.199999999999998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404.98750000000001</v>
      </c>
      <c r="BA19" s="17">
        <f t="shared" si="7"/>
        <v>249.45739176249822</v>
      </c>
      <c r="BB19" s="4">
        <f t="shared" si="8"/>
        <v>0.61596318840087216</v>
      </c>
      <c r="BC19" s="3">
        <f t="shared" si="0"/>
        <v>106236.41273053404</v>
      </c>
      <c r="BD19" s="7">
        <f t="shared" si="1"/>
        <v>12.199999999999998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27.510800000000003</v>
      </c>
      <c r="I20" s="3">
        <v>16.116478281603932</v>
      </c>
      <c r="J20" s="4">
        <f t="shared" si="2"/>
        <v>0.58582368675588969</v>
      </c>
      <c r="K20" s="3">
        <v>87648.628603046702</v>
      </c>
      <c r="L20" s="17">
        <v>4.333333333333333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27.864999999999998</v>
      </c>
      <c r="T20" s="3">
        <v>15.331246109764319</v>
      </c>
      <c r="U20" s="4">
        <f t="shared" si="3"/>
        <v>0.5501972406159813</v>
      </c>
      <c r="V20" s="3">
        <v>96413.491463351384</v>
      </c>
      <c r="W20" s="17">
        <v>4.333333333333333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4.333333333333333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4.333333333333333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104.72080000000001</v>
      </c>
      <c r="BA20" s="17">
        <f t="shared" si="7"/>
        <v>55.725216610896894</v>
      </c>
      <c r="BB20" s="4">
        <f t="shared" si="8"/>
        <v>0.53213131117119894</v>
      </c>
      <c r="BC20" s="3">
        <f t="shared" si="0"/>
        <v>94222.27574827522</v>
      </c>
      <c r="BD20" s="7">
        <f t="shared" si="1"/>
        <v>4.333333333333333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108.03982999999999</v>
      </c>
      <c r="I21" s="3">
        <v>9.4148827127914245</v>
      </c>
      <c r="J21" s="4">
        <f t="shared" si="2"/>
        <v>8.7142702027496938E-2</v>
      </c>
      <c r="K21" s="3">
        <v>92605.584307238096</v>
      </c>
      <c r="L21" s="17">
        <v>35.5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35.5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35.5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35.5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378.03982999999999</v>
      </c>
      <c r="BA21" s="17">
        <f t="shared" si="7"/>
        <v>-46.047443334996913</v>
      </c>
      <c r="BB21" s="4">
        <f t="shared" si="8"/>
        <v>-0.12180579843927269</v>
      </c>
      <c r="BC21" s="3">
        <f t="shared" si="0"/>
        <v>99551.003130280951</v>
      </c>
      <c r="BD21" s="7">
        <f t="shared" si="1"/>
        <v>35.5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/>
      <c r="BP21">
        <v>26.27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4.6449999999999996</v>
      </c>
      <c r="I22" s="3">
        <v>2.5832903000433043</v>
      </c>
      <c r="J22" s="4">
        <f t="shared" si="2"/>
        <v>0.556144305714382</v>
      </c>
      <c r="K22" s="3">
        <v>103085.48499783476</v>
      </c>
      <c r="L22" s="17">
        <v>0.66666666666666663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0.66666666666666663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0.66666666666666663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0.66666666666666663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79.644999999999996</v>
      </c>
      <c r="BA22" s="17">
        <f t="shared" si="7"/>
        <v>70.779648290186202</v>
      </c>
      <c r="BB22" s="4">
        <f t="shared" si="8"/>
        <v>0.88868916178273849</v>
      </c>
      <c r="BC22" s="3">
        <f t="shared" si="0"/>
        <v>110816.89637267237</v>
      </c>
      <c r="BD22" s="7">
        <f t="shared" si="1"/>
        <v>0.66666666666666663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f>10000/100000</f>
        <v>0.1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1</v>
      </c>
      <c r="M23" s="17"/>
      <c r="N23" s="6"/>
      <c r="O23" s="3"/>
      <c r="P23" s="7">
        <v>0.8948166666666667</v>
      </c>
      <c r="Q23" s="15"/>
      <c r="R23" s="7">
        <v>4</v>
      </c>
      <c r="S23" s="7">
        <v>2.5</v>
      </c>
      <c r="T23" s="3">
        <v>-1.1348088328910904</v>
      </c>
      <c r="U23" s="4">
        <f t="shared" si="3"/>
        <v>-0.45392353315643613</v>
      </c>
      <c r="V23" s="3">
        <v>121160.29442970302</v>
      </c>
      <c r="W23" s="17">
        <v>1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1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1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5.18445</v>
      </c>
      <c r="BA23" s="17">
        <f t="shared" si="7"/>
        <v>-9.0243481649378978</v>
      </c>
      <c r="BB23" s="4">
        <f t="shared" si="8"/>
        <v>-1.7406568035062346</v>
      </c>
      <c r="BC23" s="3">
        <f t="shared" si="0"/>
        <v>118406.65137448251</v>
      </c>
      <c r="BD23" s="7">
        <f t="shared" si="1"/>
        <v>1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v>6.22</v>
      </c>
      <c r="BP23">
        <f>68000/100000</f>
        <v>0.68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8.9005700000000001</v>
      </c>
      <c r="I24" s="3">
        <v>-6.2251834685570149</v>
      </c>
      <c r="J24" s="4">
        <f t="shared" si="2"/>
        <v>-0.69941402276000464</v>
      </c>
      <c r="K24" s="3">
        <v>100838.35645704676</v>
      </c>
      <c r="L24" s="17">
        <v>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96.900570000000002</v>
      </c>
      <c r="BA24" s="17">
        <f t="shared" si="7"/>
        <v>31.859830085204841</v>
      </c>
      <c r="BB24" s="4">
        <f t="shared" si="8"/>
        <v>0.32878888210053708</v>
      </c>
      <c r="BC24" s="3">
        <f t="shared" si="0"/>
        <v>108401.23319132529</v>
      </c>
      <c r="BD24" s="7">
        <f t="shared" si="1"/>
        <v>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30.495699999999999</v>
      </c>
      <c r="I25" s="3">
        <v>15.513742816992021</v>
      </c>
      <c r="J25" s="4">
        <f t="shared" si="2"/>
        <v>0.5087190265182312</v>
      </c>
      <c r="K25" s="3">
        <v>99879.714553386511</v>
      </c>
      <c r="L25" s="17">
        <v>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95.995699999999999</v>
      </c>
      <c r="BA25" s="17">
        <f t="shared" si="7"/>
        <v>31.573284113065689</v>
      </c>
      <c r="BB25" s="4">
        <f t="shared" si="8"/>
        <v>0.32890310829616004</v>
      </c>
      <c r="BC25" s="3">
        <f t="shared" si="0"/>
        <v>107370.69314489051</v>
      </c>
      <c r="BD25" s="7">
        <f t="shared" si="1"/>
        <v>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58.223479999999995</v>
      </c>
      <c r="I26" s="3">
        <v>-7.3742335619042478</v>
      </c>
      <c r="J26" s="4">
        <f t="shared" si="2"/>
        <v>-0.12665394720316012</v>
      </c>
      <c r="K26" s="3">
        <v>117138.77421768615</v>
      </c>
      <c r="L26" s="17">
        <v>18.666666666666668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18.666666666666668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18.666666666666668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18.666666666666668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202.22348</v>
      </c>
      <c r="BA26" s="17">
        <f t="shared" si="7"/>
        <v>-79.846688316188292</v>
      </c>
      <c r="BB26" s="4">
        <f t="shared" si="8"/>
        <v>-0.39484380506253919</v>
      </c>
      <c r="BC26" s="3">
        <f t="shared" si="0"/>
        <v>125924.18228401261</v>
      </c>
      <c r="BD26" s="7">
        <f t="shared" si="1"/>
        <v>18.666666666666668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v>24.22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0.33333333333333331</v>
      </c>
      <c r="M27" s="17"/>
      <c r="N27" s="6"/>
      <c r="O27" s="3"/>
      <c r="P27" s="7">
        <v>0</v>
      </c>
      <c r="Q27" s="15"/>
      <c r="R27" s="7">
        <v>4</v>
      </c>
      <c r="S27" s="7">
        <v>3</v>
      </c>
      <c r="T27" s="3">
        <v>1.5665072492101253</v>
      </c>
      <c r="U27" s="4">
        <f t="shared" si="3"/>
        <v>0.52216908307004173</v>
      </c>
      <c r="V27" s="3">
        <v>143349.27507898747</v>
      </c>
      <c r="W27" s="17">
        <v>0.33333333333333331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0.33333333333333331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0.33333333333333331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6</v>
      </c>
      <c r="BA27" s="17">
        <f t="shared" si="7"/>
        <v>0.39634651963958101</v>
      </c>
      <c r="BB27" s="4">
        <f t="shared" si="8"/>
        <v>6.6057753273263506E-2</v>
      </c>
      <c r="BC27" s="3">
        <f t="shared" si="0"/>
        <v>140091.33700901049</v>
      </c>
      <c r="BD27" s="7">
        <f t="shared" si="1"/>
        <v>0.33333333333333331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33.69</v>
      </c>
      <c r="I28" s="3">
        <v>0.37719727456158836</v>
      </c>
      <c r="J28" s="4">
        <f t="shared" si="2"/>
        <v>1.1196119755464185E-2</v>
      </c>
      <c r="K28" s="3">
        <v>83282.006813596032</v>
      </c>
      <c r="L28" s="17">
        <v>13.333333333333334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13.333333333333334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13.333333333333334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13.333333333333334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179.69</v>
      </c>
      <c r="BA28" s="17">
        <f t="shared" si="7"/>
        <v>36.444948280614831</v>
      </c>
      <c r="BB28" s="4">
        <f t="shared" si="8"/>
        <v>0.20282123813576064</v>
      </c>
      <c r="BC28" s="3">
        <f t="shared" si="0"/>
        <v>89528.157324615735</v>
      </c>
      <c r="BD28" s="7">
        <f t="shared" si="1"/>
        <v>13.333333333333334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38.650710000000004</v>
      </c>
      <c r="I29" s="3">
        <v>19.38208951356938</v>
      </c>
      <c r="J29" s="4">
        <f t="shared" si="2"/>
        <v>0.50146787765527145</v>
      </c>
      <c r="K29" s="3">
        <v>91755.335649669636</v>
      </c>
      <c r="L29" s="17">
        <v>7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7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7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7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86.650710000000004</v>
      </c>
      <c r="BA29" s="17">
        <f t="shared" si="7"/>
        <v>3.795641908348319</v>
      </c>
      <c r="BB29" s="4">
        <f t="shared" si="8"/>
        <v>4.3803933151249641E-2</v>
      </c>
      <c r="BC29" s="3">
        <f t="shared" si="0"/>
        <v>98636.985823394876</v>
      </c>
      <c r="BD29" s="7">
        <f t="shared" si="1"/>
        <v>7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7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83.5</v>
      </c>
      <c r="I31" s="3">
        <v>6.6859393757712553</v>
      </c>
      <c r="J31" s="4">
        <f t="shared" si="2"/>
        <v>8.0071130248757547E-2</v>
      </c>
      <c r="K31" s="3">
        <v>92547.060993046674</v>
      </c>
      <c r="L31" s="17">
        <v>27.666666666666668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27.666666666666668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27.666666666666668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27.666666666666668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463.5</v>
      </c>
      <c r="BA31" s="17">
        <f t="shared" si="7"/>
        <v>133.19953931581642</v>
      </c>
      <c r="BB31" s="4">
        <f t="shared" si="8"/>
        <v>0.28737764685181538</v>
      </c>
      <c r="BC31" s="3">
        <f t="shared" si="0"/>
        <v>99488.090567525171</v>
      </c>
      <c r="BD31" s="7">
        <f t="shared" si="1"/>
        <v>27.666666666666668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83.07</v>
      </c>
      <c r="I32" s="3">
        <v>45.251880147597902</v>
      </c>
      <c r="J32" s="4">
        <f t="shared" si="2"/>
        <v>0.54474395266158548</v>
      </c>
      <c r="K32" s="3">
        <v>87949.115935818816</v>
      </c>
      <c r="L32" s="17">
        <v>14.333333333333334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14.333333333333334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14.333333333333334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14.333333333333334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266.31</v>
      </c>
      <c r="BA32" s="17">
        <f t="shared" si="7"/>
        <v>103.69208463467099</v>
      </c>
      <c r="BB32" s="4">
        <f t="shared" si="8"/>
        <v>0.38936609453145204</v>
      </c>
      <c r="BC32" s="3">
        <f t="shared" si="0"/>
        <v>94545.29963100524</v>
      </c>
      <c r="BD32" s="7">
        <f t="shared" si="1"/>
        <v>14.333333333333334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v>16.75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1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1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1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1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7">
        <f t="shared" si="1"/>
        <v>1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3.22</v>
      </c>
      <c r="I34" s="3">
        <v>3.22</v>
      </c>
      <c r="J34" s="4">
        <f t="shared" si="2"/>
        <v>1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3.22</v>
      </c>
      <c r="BA34" s="17">
        <f t="shared" si="7"/>
        <v>3.22</v>
      </c>
      <c r="BB34" s="4">
        <f t="shared" si="8"/>
        <v>1</v>
      </c>
      <c r="BC34" s="3">
        <f t="shared" si="0"/>
        <v>0</v>
      </c>
      <c r="BD34" s="7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8.59</v>
      </c>
      <c r="I35" s="3">
        <v>1.9259072126352867</v>
      </c>
      <c r="J35" s="4">
        <f t="shared" si="2"/>
        <v>0.22420340077244316</v>
      </c>
      <c r="K35" s="3">
        <v>95201.325533781623</v>
      </c>
      <c r="L35" s="17">
        <v>2.3333333333333335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2.3333333333333335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2.3333333333333335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2.3333333333333335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41.09</v>
      </c>
      <c r="BA35" s="17">
        <f t="shared" si="7"/>
        <v>12.43440101433173</v>
      </c>
      <c r="BB35" s="4">
        <f t="shared" si="8"/>
        <v>0.30261379932664223</v>
      </c>
      <c r="BC35" s="3">
        <f t="shared" ref="BC35:BC62" si="10">AVERAGE(K35,V35,AG35,AR35)</f>
        <v>102341.42494881524</v>
      </c>
      <c r="BD35" s="7">
        <f t="shared" ref="BD35:BD59" si="11">AVERAGE(L35,W35,AH35,AS35)</f>
        <v>2.3333333333333335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11.866775000000001</v>
      </c>
      <c r="I36" s="3">
        <v>-1.3090076277194189</v>
      </c>
      <c r="J36" s="4">
        <f t="shared" si="2"/>
        <v>-0.11030862451840696</v>
      </c>
      <c r="K36" s="3">
        <v>82348.641423246372</v>
      </c>
      <c r="L36" s="17">
        <v>5.333333333333333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5.333333333333333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5.333333333333333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5.333333333333333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88.575775000000007</v>
      </c>
      <c r="BA36" s="17">
        <f t="shared" si="7"/>
        <v>31.919909700806492</v>
      </c>
      <c r="BB36" s="4">
        <f t="shared" si="8"/>
        <v>0.36036839306013962</v>
      </c>
      <c r="BC36" s="3">
        <f t="shared" si="10"/>
        <v>88524.789529989852</v>
      </c>
      <c r="BD36" s="7">
        <f t="shared" si="11"/>
        <v>5.333333333333333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/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94.38</v>
      </c>
      <c r="I37" s="3">
        <v>-20.774374589761095</v>
      </c>
      <c r="J37" s="4">
        <f t="shared" si="2"/>
        <v>-0.22011416179022139</v>
      </c>
      <c r="K37" s="3">
        <v>94388.83163095171</v>
      </c>
      <c r="L37" s="17">
        <v>40.666666666666664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40.666666666666664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40.666666666666664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40.666666666666664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408.38</v>
      </c>
      <c r="BA37" s="17">
        <f t="shared" si="7"/>
        <v>-86.783810735972693</v>
      </c>
      <c r="BB37" s="4">
        <f t="shared" si="8"/>
        <v>-0.21250749482338188</v>
      </c>
      <c r="BC37" s="3">
        <f t="shared" si="10"/>
        <v>101467.9940032731</v>
      </c>
      <c r="BD37" s="7">
        <f t="shared" si="11"/>
        <v>40.666666666666664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54.4</v>
      </c>
      <c r="I38" s="3">
        <v>19.183197784832394</v>
      </c>
      <c r="J38" s="4">
        <f t="shared" si="2"/>
        <v>0.35263231222118374</v>
      </c>
      <c r="K38" s="3">
        <v>100619.43490047885</v>
      </c>
      <c r="L38" s="17">
        <v>11.666666666666666</v>
      </c>
      <c r="M38" s="17"/>
      <c r="N38" s="6"/>
      <c r="O38" s="3"/>
      <c r="P38" s="7">
        <v>2.1904761904761907</v>
      </c>
      <c r="Q38" s="15"/>
      <c r="R38" s="7">
        <v>64</v>
      </c>
      <c r="S38" s="7">
        <v>60</v>
      </c>
      <c r="T38" s="3">
        <v>21.261517563315643</v>
      </c>
      <c r="U38" s="4">
        <f t="shared" si="3"/>
        <v>0.35435862605526069</v>
      </c>
      <c r="V38" s="3">
        <v>110681.37839052675</v>
      </c>
      <c r="W38" s="17">
        <v>11.666666666666666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11.666666666666666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11.666666666666666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236.4</v>
      </c>
      <c r="BA38" s="17">
        <f t="shared" si="7"/>
        <v>84.967750474779336</v>
      </c>
      <c r="BB38" s="4">
        <f t="shared" si="8"/>
        <v>0.35942364837047097</v>
      </c>
      <c r="BC38" s="3">
        <f t="shared" si="10"/>
        <v>108165.89251801478</v>
      </c>
      <c r="BD38" s="7">
        <f t="shared" si="11"/>
        <v>11.666666666666666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17.672502000000001</v>
      </c>
      <c r="I39" s="3">
        <v>9.259929066798664</v>
      </c>
      <c r="J39" s="4">
        <f t="shared" si="2"/>
        <v>0.52397385875518154</v>
      </c>
      <c r="K39" s="3">
        <v>93473.032591125986</v>
      </c>
      <c r="L39" s="17">
        <v>3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3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3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3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67.672502000000009</v>
      </c>
      <c r="BA39" s="17">
        <f t="shared" si="7"/>
        <v>31.498438387234238</v>
      </c>
      <c r="BB39" s="4">
        <f t="shared" si="8"/>
        <v>0.46545402425396115</v>
      </c>
      <c r="BC39" s="3">
        <f t="shared" si="10"/>
        <v>100483.51003546044</v>
      </c>
      <c r="BD39" s="7">
        <f t="shared" si="11"/>
        <v>3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19.601610399999998</v>
      </c>
      <c r="I40" s="3">
        <v>7.2548821293751615</v>
      </c>
      <c r="J40" s="4">
        <f t="shared" si="2"/>
        <v>0.37011663742562512</v>
      </c>
      <c r="K40" s="3">
        <v>102889.40225520697</v>
      </c>
      <c r="L40" s="17">
        <v>4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4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4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4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65.601610399999998</v>
      </c>
      <c r="BA40" s="17">
        <f t="shared" si="7"/>
        <v>12.510678836313204</v>
      </c>
      <c r="BB40" s="4">
        <f t="shared" si="8"/>
        <v>0.19070688600524363</v>
      </c>
      <c r="BC40" s="3">
        <f t="shared" si="10"/>
        <v>110606.10742434752</v>
      </c>
      <c r="BD40" s="7">
        <f t="shared" si="11"/>
        <v>4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7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30.11</v>
      </c>
      <c r="I42" s="3">
        <v>13.733775311772249</v>
      </c>
      <c r="J42" s="4">
        <f t="shared" si="2"/>
        <v>0.45612007013524575</v>
      </c>
      <c r="K42" s="3">
        <v>109174.83125485166</v>
      </c>
      <c r="L42" s="17">
        <v>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106.61</v>
      </c>
      <c r="BA42" s="17">
        <f t="shared" si="7"/>
        <v>36.192233840620673</v>
      </c>
      <c r="BB42" s="4">
        <f t="shared" si="8"/>
        <v>0.33948254235644565</v>
      </c>
      <c r="BC42" s="3">
        <f t="shared" si="10"/>
        <v>117362.94359896555</v>
      </c>
      <c r="BD42" s="7">
        <f t="shared" si="11"/>
        <v>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/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0.33333333333333331</v>
      </c>
      <c r="M43" s="17"/>
      <c r="N43" s="6"/>
      <c r="O43" s="3"/>
      <c r="P43" s="7">
        <v>0.33333333333333331</v>
      </c>
      <c r="Q43" s="15"/>
      <c r="R43" s="7">
        <v>0</v>
      </c>
      <c r="S43" s="7">
        <v>3</v>
      </c>
      <c r="T43" s="3">
        <v>3</v>
      </c>
      <c r="U43" s="4">
        <f t="shared" si="3"/>
        <v>1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4</v>
      </c>
      <c r="BA43" s="17">
        <f t="shared" si="7"/>
        <v>3.1</v>
      </c>
      <c r="BB43" s="4">
        <f t="shared" si="8"/>
        <v>0.77500000000000002</v>
      </c>
      <c r="BC43" s="3">
        <f t="shared" si="10"/>
        <v>22500</v>
      </c>
      <c r="BD43" s="7">
        <f t="shared" si="11"/>
        <v>8.3333333333333329E-2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4.6000000000000005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4.6000000000000005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4.6000000000000005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4.6000000000000005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7">
        <f t="shared" si="11"/>
        <v>4.6000000000000005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v>13.08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4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30</v>
      </c>
      <c r="T45" s="3">
        <v>14.734024451322476</v>
      </c>
      <c r="U45" s="4">
        <f t="shared" si="3"/>
        <v>0.49113414837741587</v>
      </c>
      <c r="V45" s="3">
        <v>127216.46290564603</v>
      </c>
      <c r="W45" s="17">
        <v>4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4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4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142.73480000000001</v>
      </c>
      <c r="BA45" s="17">
        <f t="shared" si="7"/>
        <v>83.058713764260602</v>
      </c>
      <c r="BB45" s="4">
        <f t="shared" si="8"/>
        <v>0.5819093435116075</v>
      </c>
      <c r="BC45" s="3">
        <f t="shared" si="10"/>
        <v>124325.17965779043</v>
      </c>
      <c r="BD45" s="7">
        <f t="shared" si="11"/>
        <v>4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v>19.7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24.310000000000002</v>
      </c>
      <c r="I46" s="3">
        <v>10.068902406452644</v>
      </c>
      <c r="J46" s="4">
        <f t="shared" si="2"/>
        <v>0.41418767611898982</v>
      </c>
      <c r="K46" s="3">
        <v>74953.145229196627</v>
      </c>
      <c r="L46" s="17">
        <v>6.333333333333333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21.4</v>
      </c>
      <c r="T46" s="3">
        <v>5.7347926470979029</v>
      </c>
      <c r="U46" s="4">
        <f t="shared" si="3"/>
        <v>0.26798096481765904</v>
      </c>
      <c r="V46" s="3">
        <v>82448.459752116294</v>
      </c>
      <c r="W46" s="17">
        <v>6.333333333333333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6.333333333333333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6.333333333333333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87.460000000000008</v>
      </c>
      <c r="BA46" s="17">
        <f t="shared" si="7"/>
        <v>26.223280347746353</v>
      </c>
      <c r="BB46" s="4">
        <f t="shared" si="8"/>
        <v>0.29983169846497087</v>
      </c>
      <c r="BC46" s="3">
        <f t="shared" si="10"/>
        <v>80574.631121386381</v>
      </c>
      <c r="BD46" s="7">
        <f t="shared" si="11"/>
        <v>6.333333333333333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14.6951</v>
      </c>
      <c r="I47" s="3">
        <v>7.0876429183629996</v>
      </c>
      <c r="J47" s="4">
        <f t="shared" si="2"/>
        <v>0.48231335059734193</v>
      </c>
      <c r="K47" s="3">
        <v>108677.95830910001</v>
      </c>
      <c r="L47" s="17">
        <v>2.3333333333333335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2.3333333333333335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2.3333333333333335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2.3333333333333335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50.695099999999996</v>
      </c>
      <c r="BA47" s="17">
        <f t="shared" si="7"/>
        <v>17.983034548960894</v>
      </c>
      <c r="BB47" s="4">
        <f t="shared" si="8"/>
        <v>0.35472924501501912</v>
      </c>
      <c r="BC47" s="3">
        <f t="shared" si="10"/>
        <v>116828.80518228252</v>
      </c>
      <c r="BD47" s="7">
        <f t="shared" si="11"/>
        <v>2.3333333333333335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24.666666666666668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24.666666666666668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24.666666666666668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24.666666666666668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7">
        <f t="shared" si="11"/>
        <v>24.666666666666668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v>4.22</v>
      </c>
      <c r="BP48"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19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19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19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19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7">
        <f t="shared" si="11"/>
        <v>19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22.341290000000001</v>
      </c>
      <c r="I50" s="3">
        <v>18.301290000000002</v>
      </c>
      <c r="J50" s="4">
        <f t="shared" si="2"/>
        <v>0.81916890206429449</v>
      </c>
      <c r="K50" s="3">
        <v>101000</v>
      </c>
      <c r="L50" s="17">
        <v>1.3333333333333333</v>
      </c>
      <c r="M50" s="17"/>
      <c r="N50" s="6"/>
      <c r="O50" s="3"/>
      <c r="P50" s="7">
        <v>7.2004300000000008</v>
      </c>
      <c r="Q50" s="15"/>
      <c r="R50" s="7">
        <v>24.900000000000002</v>
      </c>
      <c r="S50" s="3">
        <f>R50</f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1.3333333333333333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1.3333333333333333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1.3333333333333333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92.691290000000009</v>
      </c>
      <c r="BA50" s="17">
        <f t="shared" si="7"/>
        <v>75.319289999999995</v>
      </c>
      <c r="BB50" s="4">
        <f t="shared" si="8"/>
        <v>0.8125821746574029</v>
      </c>
      <c r="BC50" s="3">
        <f t="shared" si="10"/>
        <v>108575</v>
      </c>
      <c r="BD50" s="7">
        <f t="shared" si="11"/>
        <v>1.3333333333333333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6</v>
      </c>
      <c r="M51" s="17"/>
      <c r="N51" s="6"/>
      <c r="O51" s="3"/>
      <c r="P51" s="7">
        <v>0</v>
      </c>
      <c r="Q51" s="15"/>
      <c r="R51" s="7">
        <v>109.5</v>
      </c>
      <c r="S51" s="7">
        <v>5.0999999999999996</v>
      </c>
      <c r="T51" s="3">
        <v>-15.839530819386864</v>
      </c>
      <c r="U51" s="4">
        <f t="shared" si="3"/>
        <v>-3.1057903567425225</v>
      </c>
      <c r="V51" s="3">
        <v>116330.72677437146</v>
      </c>
      <c r="W51" s="17">
        <v>6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6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6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284.10000000000002</v>
      </c>
      <c r="BA51" s="17">
        <f t="shared" si="7"/>
        <v>202.24547043330591</v>
      </c>
      <c r="BB51" s="4">
        <f t="shared" si="8"/>
        <v>0.71188127572441362</v>
      </c>
      <c r="BC51" s="3">
        <f t="shared" si="10"/>
        <v>113686.84662040847</v>
      </c>
      <c r="BD51" s="7">
        <f t="shared" si="11"/>
        <v>6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2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2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2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2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7">
        <f t="shared" si="11"/>
        <v>2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0</v>
      </c>
      <c r="T53" s="3">
        <v>0</v>
      </c>
      <c r="U53" s="4">
        <f t="shared" si="3"/>
        <v>0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3</v>
      </c>
      <c r="BA53" s="17">
        <f t="shared" si="7"/>
        <v>3</v>
      </c>
      <c r="BB53" s="4">
        <f t="shared" si="8"/>
        <v>1</v>
      </c>
      <c r="BC53" s="3">
        <f t="shared" si="10"/>
        <v>130703.60833512928</v>
      </c>
      <c r="BD53" s="7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7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32.5</v>
      </c>
      <c r="I55" s="3">
        <v>2.2736636198644078E-2</v>
      </c>
      <c r="J55" s="4">
        <f t="shared" si="2"/>
        <v>6.9958880611212552E-4</v>
      </c>
      <c r="K55" s="3">
        <v>50745.724005939614</v>
      </c>
      <c r="L55" s="17">
        <v>21.333333333333332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21.333333333333332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21.333333333333332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21.333333333333332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506.24518</v>
      </c>
      <c r="BA55" s="17">
        <f t="shared" si="7"/>
        <v>366.59294753565422</v>
      </c>
      <c r="BB55" s="4">
        <f t="shared" si="8"/>
        <v>0.72414111189296504</v>
      </c>
      <c r="BC55" s="3">
        <f t="shared" si="10"/>
        <v>54551.65330638508</v>
      </c>
      <c r="BD55" s="7">
        <f t="shared" si="11"/>
        <v>21.333333333333332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0.79999999999999993</v>
      </c>
      <c r="M56" s="17"/>
      <c r="N56" s="6"/>
      <c r="O56" s="3"/>
      <c r="P56" s="7">
        <v>0</v>
      </c>
      <c r="Q56" s="15"/>
      <c r="R56" s="7">
        <v>24</v>
      </c>
      <c r="S56" s="7">
        <v>6.5</v>
      </c>
      <c r="T56" s="3">
        <v>3.8336000000000001</v>
      </c>
      <c r="U56" s="4">
        <f t="shared" si="3"/>
        <v>0.58978461538461535</v>
      </c>
      <c r="V56" s="3">
        <v>111100.00000000001</v>
      </c>
      <c r="W56" s="17">
        <v>0.79999999999999993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0.79999999999999993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0.79999999999999993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100.27106000000001</v>
      </c>
      <c r="BA56" s="17">
        <f t="shared" si="7"/>
        <v>89.847859999999997</v>
      </c>
      <c r="BB56" s="4">
        <f t="shared" si="8"/>
        <v>0.89604976750021381</v>
      </c>
      <c r="BC56" s="3">
        <f t="shared" si="10"/>
        <v>108575</v>
      </c>
      <c r="BD56" s="7">
        <f t="shared" si="11"/>
        <v>0.79999999999999993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0.33333333333333331</v>
      </c>
      <c r="M57" s="17"/>
      <c r="N57" s="6"/>
      <c r="O57" s="3"/>
      <c r="P57" s="7">
        <v>0</v>
      </c>
      <c r="Q57" s="15"/>
      <c r="R57" s="7">
        <v>64</v>
      </c>
      <c r="S57" s="7">
        <v>30</v>
      </c>
      <c r="T57" s="3">
        <v>25.070056744754275</v>
      </c>
      <c r="U57" s="4">
        <f t="shared" si="3"/>
        <v>0.83566855815847585</v>
      </c>
      <c r="V57" s="3">
        <v>492994.3255245724</v>
      </c>
      <c r="W57" s="17">
        <v>0.33333333333333331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0.33333333333333331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0.33333333333333331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298</v>
      </c>
      <c r="BA57" s="17">
        <f t="shared" si="7"/>
        <v>278.72840363858489</v>
      </c>
      <c r="BB57" s="4">
        <f t="shared" si="8"/>
        <v>0.93533021355229828</v>
      </c>
      <c r="BC57" s="3">
        <f t="shared" si="10"/>
        <v>481789.90903537755</v>
      </c>
      <c r="BD57" s="7">
        <f t="shared" si="11"/>
        <v>0.33333333333333331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1.1666666666666667</v>
      </c>
      <c r="M58" s="17"/>
      <c r="N58" s="6"/>
      <c r="O58" s="3"/>
      <c r="P58" s="7">
        <v>0.38095238095238093</v>
      </c>
      <c r="Q58" s="15"/>
      <c r="R58" s="3"/>
      <c r="S58" s="7">
        <v>23</v>
      </c>
      <c r="T58" s="3">
        <v>23</v>
      </c>
      <c r="U58" s="4">
        <f t="shared" si="3"/>
        <v>1</v>
      </c>
      <c r="V58" s="3">
        <v>99000.000000000015</v>
      </c>
      <c r="W58" s="17">
        <v>0</v>
      </c>
      <c r="X58" s="17"/>
      <c r="Y58" s="17"/>
      <c r="Z58" s="3"/>
      <c r="AA58" s="7">
        <v>0</v>
      </c>
      <c r="AC58" s="3"/>
      <c r="AD58" s="3"/>
      <c r="AE58" s="3"/>
      <c r="AF58" s="4"/>
      <c r="AG58" s="3"/>
      <c r="AH58" s="17">
        <v>0</v>
      </c>
      <c r="AI58" s="17"/>
      <c r="AJ58" s="17"/>
      <c r="AK58" s="3"/>
      <c r="AL58" s="7">
        <v>0</v>
      </c>
      <c r="AN58" s="8"/>
      <c r="AO58" s="8"/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27</v>
      </c>
      <c r="BA58" s="17">
        <f t="shared" si="7"/>
        <v>23.85</v>
      </c>
      <c r="BB58" s="4">
        <f t="shared" si="8"/>
        <v>0.88333333333333341</v>
      </c>
      <c r="BC58" s="3">
        <f t="shared" si="10"/>
        <v>96000</v>
      </c>
      <c r="BD58" s="7">
        <f t="shared" si="11"/>
        <v>0.29166666666666669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0.56666666666666665</v>
      </c>
      <c r="M59" s="17"/>
      <c r="N59" s="6"/>
      <c r="O59" s="3"/>
      <c r="P59" s="7">
        <v>1.2500000000000002</v>
      </c>
      <c r="Q59" s="15"/>
      <c r="R59" s="3"/>
      <c r="S59" s="7">
        <v>5.0999999999999996</v>
      </c>
      <c r="T59" s="3">
        <v>5.0999999999999996</v>
      </c>
      <c r="U59" s="4">
        <f t="shared" si="3"/>
        <v>1</v>
      </c>
      <c r="V59" s="3">
        <v>99000.000000000015</v>
      </c>
      <c r="W59" s="17">
        <v>0</v>
      </c>
      <c r="X59" s="17"/>
      <c r="Y59" s="17"/>
      <c r="Z59" s="3"/>
      <c r="AA59" s="7">
        <v>0</v>
      </c>
      <c r="AC59" s="3"/>
      <c r="AD59" s="3"/>
      <c r="AE59" s="3"/>
      <c r="AF59" s="4"/>
      <c r="AG59" s="3"/>
      <c r="AH59" s="17">
        <v>0</v>
      </c>
      <c r="AI59" s="17"/>
      <c r="AJ59" s="17"/>
      <c r="AK59" s="3"/>
      <c r="AL59" s="7">
        <v>0</v>
      </c>
      <c r="AN59" s="8"/>
      <c r="AO59" s="8"/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10.35</v>
      </c>
      <c r="BA59" s="17">
        <f t="shared" si="7"/>
        <v>8.82</v>
      </c>
      <c r="BB59" s="4">
        <f t="shared" si="8"/>
        <v>0.85217391304347834</v>
      </c>
      <c r="BC59" s="3">
        <f t="shared" si="10"/>
        <v>96000</v>
      </c>
      <c r="BD59" s="7">
        <f t="shared" si="11"/>
        <v>0.14166666666666666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22">
        <v>217</v>
      </c>
      <c r="H60" s="17">
        <v>0</v>
      </c>
      <c r="I60" s="3">
        <v>0</v>
      </c>
      <c r="J60" s="4">
        <f t="shared" si="2"/>
        <v>0</v>
      </c>
      <c r="K60" s="3">
        <v>0</v>
      </c>
      <c r="L60" s="23">
        <v>0</v>
      </c>
      <c r="M60" s="17"/>
      <c r="R60" s="25">
        <v>518</v>
      </c>
      <c r="S60" s="7">
        <v>0</v>
      </c>
      <c r="T60" s="3">
        <v>0</v>
      </c>
      <c r="U60" s="4">
        <f t="shared" si="3"/>
        <v>0</v>
      </c>
      <c r="V60" s="3">
        <v>0</v>
      </c>
      <c r="X60" s="17"/>
      <c r="AC60" s="16">
        <f>759+12</f>
        <v>771</v>
      </c>
      <c r="AH60">
        <v>0</v>
      </c>
      <c r="AI60" s="17"/>
      <c r="AN60" s="23">
        <f>1013+12</f>
        <v>1025</v>
      </c>
      <c r="AY60" s="17">
        <f>R60+AC60+AN60+G60</f>
        <v>2531</v>
      </c>
      <c r="AZ60" s="17">
        <f t="shared" si="6"/>
        <v>0</v>
      </c>
      <c r="BA60" s="17">
        <f t="shared" si="7"/>
        <v>0</v>
      </c>
      <c r="BB60" s="4">
        <f t="shared" si="8"/>
        <v>0</v>
      </c>
      <c r="BC60" s="3">
        <f t="shared" si="10"/>
        <v>0</v>
      </c>
      <c r="BD60" s="18"/>
      <c r="BH60" s="7"/>
    </row>
    <row r="61" spans="1:78" x14ac:dyDescent="0.35">
      <c r="A61" s="16" t="s">
        <v>121</v>
      </c>
      <c r="B61" s="16" t="s">
        <v>122</v>
      </c>
      <c r="C61" s="16" t="s">
        <v>122</v>
      </c>
      <c r="D61" s="24" t="s">
        <v>118</v>
      </c>
      <c r="E61" s="16" t="s">
        <v>122</v>
      </c>
      <c r="G61" s="18"/>
      <c r="H61" s="17">
        <v>25</v>
      </c>
      <c r="I61" s="3">
        <v>6.1704803999999989</v>
      </c>
      <c r="J61" s="4">
        <f t="shared" si="2"/>
        <v>0.24681921599999995</v>
      </c>
      <c r="K61" s="3">
        <v>0</v>
      </c>
      <c r="L61" s="23">
        <v>5.2</v>
      </c>
      <c r="R61" s="18"/>
      <c r="S61" s="7">
        <v>29.36</v>
      </c>
      <c r="T61" s="3">
        <v>17.598559999999999</v>
      </c>
      <c r="U61" s="4">
        <f t="shared" si="3"/>
        <v>0.59940599455040866</v>
      </c>
      <c r="V61" s="3">
        <v>0</v>
      </c>
      <c r="AD61" s="18"/>
      <c r="AE61" s="18"/>
      <c r="AO61" s="18"/>
      <c r="AZ61" s="17">
        <f t="shared" si="6"/>
        <v>54.36</v>
      </c>
      <c r="BA61" s="17">
        <f t="shared" si="7"/>
        <v>23.769040399999998</v>
      </c>
      <c r="BB61" s="4">
        <f t="shared" si="8"/>
        <v>0.4372523988226637</v>
      </c>
      <c r="BC61" s="3">
        <f t="shared" si="10"/>
        <v>0</v>
      </c>
    </row>
    <row r="62" spans="1:78" x14ac:dyDescent="0.35">
      <c r="A62" s="16" t="s">
        <v>129</v>
      </c>
      <c r="B62" s="16" t="s">
        <v>83</v>
      </c>
      <c r="C62" s="16" t="s">
        <v>130</v>
      </c>
      <c r="D62" s="24" t="s">
        <v>119</v>
      </c>
      <c r="E62" s="16" t="s">
        <v>95</v>
      </c>
      <c r="S62" s="3">
        <v>3.2</v>
      </c>
      <c r="T62" s="3">
        <v>3.2</v>
      </c>
      <c r="U62" s="4">
        <f t="shared" si="3"/>
        <v>1</v>
      </c>
      <c r="V62" s="3">
        <v>0</v>
      </c>
      <c r="AZ62" s="17">
        <f t="shared" si="6"/>
        <v>3.2</v>
      </c>
      <c r="BA62" s="17">
        <f t="shared" si="7"/>
        <v>3.2</v>
      </c>
      <c r="BB62" s="4">
        <f t="shared" si="8"/>
        <v>1</v>
      </c>
      <c r="BC62" s="3">
        <f t="shared" si="10"/>
        <v>0</v>
      </c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AO61"/>
  <sheetViews>
    <sheetView workbookViewId="0">
      <selection activeCell="A2" sqref="A2"/>
    </sheetView>
  </sheetViews>
  <sheetFormatPr defaultRowHeight="14.5" x14ac:dyDescent="0.35"/>
  <cols>
    <col min="1" max="1" width="25.26953125" bestFit="1" customWidth="1"/>
    <col min="2" max="3" width="0" hidden="1" customWidth="1"/>
    <col min="4" max="4" width="13.54296875" hidden="1" customWidth="1"/>
    <col min="5" max="5" width="0" hidden="1" customWidth="1"/>
    <col min="6" max="6" width="5.08984375" customWidth="1"/>
    <col min="7" max="7" width="15.7265625" customWidth="1"/>
    <col min="8" max="8" width="13.90625" customWidth="1"/>
    <col min="9" max="13" width="8.7265625" customWidth="1"/>
    <col min="14" max="14" width="9.90625" bestFit="1" customWidth="1"/>
    <col min="15" max="17" width="8.7265625" customWidth="1"/>
    <col min="19" max="19" width="15.7265625" bestFit="1" customWidth="1"/>
    <col min="20" max="20" width="13.90625" bestFit="1" customWidth="1"/>
    <col min="31" max="31" width="15.7265625" bestFit="1" customWidth="1"/>
  </cols>
  <sheetData>
    <row r="1" spans="1:41" x14ac:dyDescent="0.35">
      <c r="G1" s="26" t="s">
        <v>123</v>
      </c>
      <c r="H1" s="26"/>
      <c r="I1" s="26"/>
      <c r="J1" s="26"/>
      <c r="K1" s="26"/>
      <c r="L1" s="26"/>
      <c r="M1" s="26"/>
      <c r="N1" s="26"/>
      <c r="O1" s="26"/>
      <c r="P1" s="26"/>
      <c r="Q1" s="26"/>
      <c r="S1" s="26" t="s">
        <v>125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E1" s="26" t="s">
        <v>126</v>
      </c>
      <c r="AF1" s="26"/>
      <c r="AG1" s="26"/>
      <c r="AH1" s="26"/>
      <c r="AI1" s="26"/>
      <c r="AJ1" s="26"/>
      <c r="AK1" s="26"/>
      <c r="AL1" s="26"/>
      <c r="AM1" s="26"/>
      <c r="AN1" s="26"/>
      <c r="AO1" s="26"/>
    </row>
    <row r="2" spans="1:41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G2" s="1" t="s">
        <v>128</v>
      </c>
      <c r="H2" s="1" t="s">
        <v>124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127</v>
      </c>
      <c r="Q2" s="1" t="s">
        <v>28</v>
      </c>
      <c r="S2" s="1" t="s">
        <v>128</v>
      </c>
      <c r="T2" s="1" t="s">
        <v>124</v>
      </c>
      <c r="U2" s="1" t="s">
        <v>26</v>
      </c>
      <c r="V2" s="1" t="s">
        <v>25</v>
      </c>
      <c r="W2" s="1" t="s">
        <v>27</v>
      </c>
      <c r="X2" s="1" t="s">
        <v>68</v>
      </c>
      <c r="Y2" s="1" t="s">
        <v>113</v>
      </c>
      <c r="Z2" s="1" t="s">
        <v>112</v>
      </c>
      <c r="AA2" s="1" t="s">
        <v>34</v>
      </c>
      <c r="AB2" s="1" t="s">
        <v>127</v>
      </c>
      <c r="AC2" s="1" t="s">
        <v>28</v>
      </c>
      <c r="AE2" s="1" t="s">
        <v>128</v>
      </c>
      <c r="AF2" s="1" t="s">
        <v>124</v>
      </c>
      <c r="AG2" s="1" t="s">
        <v>26</v>
      </c>
      <c r="AH2" s="1" t="s">
        <v>25</v>
      </c>
      <c r="AI2" s="1" t="s">
        <v>27</v>
      </c>
      <c r="AJ2" s="1" t="s">
        <v>68</v>
      </c>
      <c r="AK2" s="1" t="s">
        <v>113</v>
      </c>
      <c r="AL2" s="1" t="s">
        <v>112</v>
      </c>
      <c r="AM2" s="1" t="s">
        <v>34</v>
      </c>
      <c r="AN2" s="1" t="s">
        <v>127</v>
      </c>
      <c r="AO2" s="1" t="s">
        <v>28</v>
      </c>
    </row>
    <row r="3" spans="1:41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G3" s="14">
        <v>120</v>
      </c>
      <c r="H3" s="17">
        <v>120</v>
      </c>
      <c r="I3" s="3">
        <v>96.630983659997625</v>
      </c>
      <c r="J3" s="4">
        <f>IFERROR(I3/H3,0)</f>
        <v>0.80525819716664693</v>
      </c>
      <c r="K3" s="3"/>
      <c r="L3" s="17">
        <v>57.333333333333336</v>
      </c>
      <c r="M3" s="17"/>
      <c r="N3" s="6"/>
      <c r="O3" s="6"/>
      <c r="P3" s="6">
        <v>120</v>
      </c>
      <c r="Q3" s="7">
        <v>4.3498168498168504</v>
      </c>
      <c r="S3" s="14">
        <v>167</v>
      </c>
      <c r="T3" s="17">
        <v>167</v>
      </c>
      <c r="U3" s="3"/>
      <c r="V3" s="4"/>
      <c r="W3" s="3"/>
      <c r="X3" s="17"/>
      <c r="Y3" s="17"/>
      <c r="Z3" s="6"/>
      <c r="AA3" s="6"/>
      <c r="AB3" s="6"/>
      <c r="AC3" s="7"/>
      <c r="AE3" s="14">
        <v>188</v>
      </c>
      <c r="AF3" s="17">
        <v>188</v>
      </c>
      <c r="AG3" s="3"/>
      <c r="AH3" s="4"/>
      <c r="AI3" s="3"/>
      <c r="AJ3" s="17"/>
      <c r="AK3" s="17"/>
      <c r="AL3" s="6"/>
      <c r="AM3" s="6"/>
      <c r="AN3" s="6"/>
      <c r="AO3" s="7"/>
    </row>
    <row r="4" spans="1:41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G4" s="14">
        <v>1</v>
      </c>
      <c r="H4" s="17">
        <v>2.2562000000000002</v>
      </c>
      <c r="I4" s="3">
        <v>-0.17604378797486162</v>
      </c>
      <c r="J4" s="4">
        <f t="shared" ref="J4:J61" si="0">IFERROR(I4/H4,0)</f>
        <v>-7.8026676701915432E-2</v>
      </c>
      <c r="K4" s="3"/>
      <c r="L4" s="17">
        <v>2</v>
      </c>
      <c r="M4" s="17"/>
      <c r="N4" s="6"/>
      <c r="O4" s="3"/>
      <c r="P4" s="3">
        <v>2.25</v>
      </c>
      <c r="Q4" s="7">
        <v>0</v>
      </c>
      <c r="S4" s="14">
        <v>2</v>
      </c>
      <c r="T4" s="17">
        <v>6.6</v>
      </c>
      <c r="U4" s="3"/>
      <c r="V4" s="4"/>
      <c r="W4" s="3"/>
      <c r="X4" s="17"/>
      <c r="Y4" s="17"/>
      <c r="Z4" s="6"/>
      <c r="AA4" s="3"/>
      <c r="AB4" s="3"/>
      <c r="AC4" s="7"/>
      <c r="AE4" s="14">
        <v>2</v>
      </c>
      <c r="AF4" s="17">
        <v>1.02</v>
      </c>
      <c r="AG4" s="3"/>
      <c r="AH4" s="4"/>
      <c r="AI4" s="3"/>
      <c r="AJ4" s="17"/>
      <c r="AK4" s="17"/>
      <c r="AL4" s="6"/>
      <c r="AM4" s="3"/>
      <c r="AN4" s="3"/>
      <c r="AO4" s="7"/>
    </row>
    <row r="5" spans="1:41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G5" s="14">
        <v>8</v>
      </c>
      <c r="H5" s="17">
        <v>9.3010766</v>
      </c>
      <c r="I5" s="3">
        <v>3.561191132154701</v>
      </c>
      <c r="J5" s="4">
        <f t="shared" si="0"/>
        <v>0.3828794542079893</v>
      </c>
      <c r="K5" s="3"/>
      <c r="L5" s="17">
        <v>4</v>
      </c>
      <c r="M5" s="17"/>
      <c r="N5" s="6"/>
      <c r="O5" s="3"/>
      <c r="P5" s="3"/>
      <c r="Q5" s="7">
        <v>2.5332973999999999</v>
      </c>
      <c r="S5" s="14">
        <v>8</v>
      </c>
      <c r="T5" s="17">
        <v>7.9985999999999997</v>
      </c>
      <c r="U5" s="3"/>
      <c r="V5" s="4"/>
      <c r="W5" s="3"/>
      <c r="X5" s="17"/>
      <c r="Y5" s="17"/>
      <c r="Z5" s="6"/>
      <c r="AA5" s="3"/>
      <c r="AB5" s="3"/>
      <c r="AC5" s="7"/>
      <c r="AE5" s="14">
        <v>8</v>
      </c>
      <c r="AF5" s="17">
        <v>5.5</v>
      </c>
      <c r="AG5" s="3"/>
      <c r="AH5" s="4"/>
      <c r="AI5" s="3"/>
      <c r="AJ5" s="17"/>
      <c r="AK5" s="17"/>
      <c r="AL5" s="6"/>
      <c r="AM5" s="3"/>
      <c r="AN5" s="3"/>
      <c r="AO5" s="7"/>
    </row>
    <row r="6" spans="1:41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G6" s="14">
        <v>20</v>
      </c>
      <c r="H6" s="17">
        <v>26.5</v>
      </c>
      <c r="I6" s="3">
        <v>-3.5042859329899017</v>
      </c>
      <c r="J6" s="4">
        <f t="shared" si="0"/>
        <v>-0.13223720501848685</v>
      </c>
      <c r="K6" s="3"/>
      <c r="L6" s="17">
        <v>15.666666666666666</v>
      </c>
      <c r="M6" s="17"/>
      <c r="N6" s="6"/>
      <c r="O6" s="3"/>
      <c r="P6" s="3">
        <v>26.5</v>
      </c>
      <c r="Q6" s="7">
        <v>1.3417475728155339</v>
      </c>
      <c r="S6" s="14">
        <v>17</v>
      </c>
      <c r="T6" s="17">
        <v>13.11</v>
      </c>
      <c r="U6" s="3"/>
      <c r="V6" s="4"/>
      <c r="W6" s="3"/>
      <c r="X6" s="17"/>
      <c r="Y6" s="17"/>
      <c r="Z6" s="6"/>
      <c r="AA6" s="3"/>
      <c r="AB6" s="3"/>
      <c r="AC6" s="7"/>
      <c r="AE6" s="14">
        <v>19</v>
      </c>
      <c r="AF6" s="17">
        <v>1.85</v>
      </c>
      <c r="AG6" s="3"/>
      <c r="AH6" s="4"/>
      <c r="AI6" s="3"/>
      <c r="AJ6" s="17"/>
      <c r="AK6" s="17"/>
      <c r="AL6" s="6"/>
      <c r="AM6" s="3"/>
      <c r="AN6" s="3"/>
      <c r="AO6" s="7"/>
    </row>
    <row r="7" spans="1:41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G7" s="14">
        <v>8.6999999999999993</v>
      </c>
      <c r="H7" s="17">
        <v>6.1185</v>
      </c>
      <c r="I7" s="3">
        <v>0.29414927678181019</v>
      </c>
      <c r="J7" s="4">
        <f t="shared" si="0"/>
        <v>4.8075390501235625E-2</v>
      </c>
      <c r="K7" s="3"/>
      <c r="L7" s="17">
        <v>6</v>
      </c>
      <c r="M7" s="17"/>
      <c r="N7" s="6"/>
      <c r="O7" s="3"/>
      <c r="P7" s="3">
        <v>6.11</v>
      </c>
      <c r="Q7" s="7">
        <v>1.2745666666666666</v>
      </c>
      <c r="S7" s="14">
        <v>9.6</v>
      </c>
      <c r="T7" s="17">
        <v>6</v>
      </c>
      <c r="U7" s="3"/>
      <c r="V7" s="4"/>
      <c r="W7" s="3"/>
      <c r="X7" s="17"/>
      <c r="Y7" s="17"/>
      <c r="Z7" s="6"/>
      <c r="AA7" s="3"/>
      <c r="AB7" s="3"/>
      <c r="AC7" s="7"/>
      <c r="AE7" s="14">
        <v>10.199999999999999</v>
      </c>
      <c r="AF7" s="17">
        <v>7</v>
      </c>
      <c r="AG7" s="3"/>
      <c r="AH7" s="4"/>
      <c r="AI7" s="3"/>
      <c r="AJ7" s="17"/>
      <c r="AK7" s="17"/>
      <c r="AL7" s="6"/>
      <c r="AM7" s="3"/>
      <c r="AN7" s="3"/>
      <c r="AO7" s="7"/>
    </row>
    <row r="8" spans="1:41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G8" s="14">
        <v>11</v>
      </c>
      <c r="H8" s="17">
        <v>13.0525</v>
      </c>
      <c r="I8" s="3">
        <v>1.4691666666666663</v>
      </c>
      <c r="J8" s="4">
        <f t="shared" si="0"/>
        <v>0.112558258315776</v>
      </c>
      <c r="K8" s="3"/>
      <c r="L8" s="17">
        <v>8.1666666666666661</v>
      </c>
      <c r="M8" s="17"/>
      <c r="N8" s="6"/>
      <c r="O8" s="3"/>
      <c r="P8" s="3">
        <v>13.05</v>
      </c>
      <c r="Q8" s="7">
        <v>1.2146874999999999</v>
      </c>
      <c r="S8" s="14">
        <v>11</v>
      </c>
      <c r="T8" s="17">
        <v>9.6</v>
      </c>
      <c r="U8" s="3"/>
      <c r="V8" s="4"/>
      <c r="W8" s="3"/>
      <c r="X8" s="17"/>
      <c r="Y8" s="17"/>
      <c r="Z8" s="6"/>
      <c r="AA8" s="3"/>
      <c r="AB8" s="3"/>
      <c r="AC8" s="7"/>
      <c r="AE8" s="14">
        <v>11</v>
      </c>
      <c r="AF8" s="17">
        <v>6.5</v>
      </c>
      <c r="AG8" s="3"/>
      <c r="AH8" s="4"/>
      <c r="AI8" s="3"/>
      <c r="AJ8" s="17"/>
      <c r="AK8" s="17"/>
      <c r="AL8" s="6"/>
      <c r="AM8" s="3"/>
      <c r="AN8" s="3"/>
      <c r="AO8" s="7"/>
    </row>
    <row r="9" spans="1:41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G9" s="14">
        <v>17.25</v>
      </c>
      <c r="H9" s="17">
        <v>6.83</v>
      </c>
      <c r="I9" s="3">
        <v>-0.19260178039615519</v>
      </c>
      <c r="J9" s="4">
        <f t="shared" si="0"/>
        <v>-2.8199382195630337E-2</v>
      </c>
      <c r="K9" s="3"/>
      <c r="L9" s="17">
        <v>10.666666666666666</v>
      </c>
      <c r="M9" s="17"/>
      <c r="N9" s="6"/>
      <c r="O9" s="3"/>
      <c r="P9" s="3">
        <v>4.58</v>
      </c>
      <c r="Q9" s="7">
        <v>0.83599999999999997</v>
      </c>
      <c r="S9" s="14">
        <v>17.25</v>
      </c>
      <c r="T9" s="17">
        <v>9</v>
      </c>
      <c r="U9" s="3"/>
      <c r="V9" s="4"/>
      <c r="W9" s="3"/>
      <c r="X9" s="17"/>
      <c r="Y9" s="17"/>
      <c r="Z9" s="6"/>
      <c r="AA9" s="3"/>
      <c r="AB9" s="3"/>
      <c r="AC9" s="7"/>
      <c r="AE9" s="14">
        <v>17.25</v>
      </c>
      <c r="AF9" s="17">
        <v>9.25</v>
      </c>
      <c r="AG9" s="3"/>
      <c r="AH9" s="4"/>
      <c r="AI9" s="3"/>
      <c r="AJ9" s="17"/>
      <c r="AK9" s="17"/>
      <c r="AL9" s="6"/>
      <c r="AM9" s="3"/>
      <c r="AN9" s="3"/>
      <c r="AO9" s="7"/>
    </row>
    <row r="10" spans="1:41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G10" s="14">
        <v>3</v>
      </c>
      <c r="H10" s="17">
        <v>2.7279200000000001</v>
      </c>
      <c r="I10" s="3">
        <v>1.1487128559241577</v>
      </c>
      <c r="J10" s="4">
        <f t="shared" si="0"/>
        <v>0.42109477401249218</v>
      </c>
      <c r="K10" s="3"/>
      <c r="L10" s="17">
        <v>2</v>
      </c>
      <c r="M10" s="17"/>
      <c r="N10" s="6"/>
      <c r="O10" s="3"/>
      <c r="P10" s="3"/>
      <c r="Q10" s="7">
        <v>1.6284562999999999</v>
      </c>
      <c r="S10" s="14">
        <v>3</v>
      </c>
      <c r="T10" s="17">
        <v>2.7114332000000001</v>
      </c>
      <c r="U10" s="3"/>
      <c r="V10" s="4"/>
      <c r="W10" s="3"/>
      <c r="X10" s="17"/>
      <c r="Y10" s="17"/>
      <c r="Z10" s="6"/>
      <c r="AA10" s="3"/>
      <c r="AB10" s="3"/>
      <c r="AC10" s="7"/>
      <c r="AE10" s="14">
        <v>4</v>
      </c>
      <c r="AF10" s="17">
        <v>4.3313845999999998</v>
      </c>
      <c r="AG10" s="3"/>
      <c r="AH10" s="4"/>
      <c r="AI10" s="3"/>
      <c r="AJ10" s="17"/>
      <c r="AK10" s="17"/>
      <c r="AL10" s="6"/>
      <c r="AM10" s="3"/>
      <c r="AN10" s="3"/>
      <c r="AO10" s="7"/>
    </row>
    <row r="11" spans="1:41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G11" s="14">
        <v>17.166666666666668</v>
      </c>
      <c r="H11" s="17">
        <v>12.79</v>
      </c>
      <c r="I11" s="3">
        <v>5.5607583716918079</v>
      </c>
      <c r="J11" s="4">
        <f t="shared" si="0"/>
        <v>0.4347739149094455</v>
      </c>
      <c r="K11" s="3"/>
      <c r="L11" s="17">
        <v>8.6666666666666661</v>
      </c>
      <c r="M11" s="17"/>
      <c r="N11" s="6"/>
      <c r="O11" s="3"/>
      <c r="P11" s="3">
        <v>12.79</v>
      </c>
      <c r="Q11" s="7">
        <v>1.8106666666666664</v>
      </c>
      <c r="S11" s="14">
        <v>17.166666666666668</v>
      </c>
      <c r="T11" s="17">
        <v>13.649999999999999</v>
      </c>
      <c r="U11" s="3"/>
      <c r="V11" s="4"/>
      <c r="W11" s="3"/>
      <c r="X11" s="17"/>
      <c r="Y11" s="17"/>
      <c r="Z11" s="6"/>
      <c r="AA11" s="3"/>
      <c r="AB11" s="3"/>
      <c r="AC11" s="7"/>
      <c r="AE11" s="14">
        <v>17.166666666666668</v>
      </c>
      <c r="AF11" s="17">
        <v>14.3</v>
      </c>
      <c r="AG11" s="3"/>
      <c r="AH11" s="4"/>
      <c r="AI11" s="3"/>
      <c r="AJ11" s="17"/>
      <c r="AK11" s="17"/>
      <c r="AL11" s="6"/>
      <c r="AM11" s="3"/>
      <c r="AN11" s="3"/>
      <c r="AO11" s="7"/>
    </row>
    <row r="12" spans="1:41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G12" s="14">
        <v>113.10139199999999</v>
      </c>
      <c r="H12" s="17">
        <v>181.56917999999999</v>
      </c>
      <c r="I12" s="3">
        <v>60.485020524784211</v>
      </c>
      <c r="J12" s="4">
        <f t="shared" si="0"/>
        <v>0.33312382930178025</v>
      </c>
      <c r="K12" s="3"/>
      <c r="L12" s="17">
        <v>56.4</v>
      </c>
      <c r="M12" s="17"/>
      <c r="N12" s="6"/>
      <c r="O12" s="3"/>
      <c r="P12" s="3"/>
      <c r="Q12" s="7">
        <v>3.8186813186813189</v>
      </c>
      <c r="S12" s="14">
        <v>113.10139199999999</v>
      </c>
      <c r="T12" s="17">
        <v>117.71541000000001</v>
      </c>
      <c r="U12" s="3"/>
      <c r="V12" s="4"/>
      <c r="W12" s="3"/>
      <c r="X12" s="17"/>
      <c r="Y12" s="17"/>
      <c r="Z12" s="6"/>
      <c r="AA12" s="3"/>
      <c r="AB12" s="3"/>
      <c r="AC12" s="7"/>
      <c r="AE12" s="14">
        <v>103.101392</v>
      </c>
      <c r="AF12" s="17">
        <v>117.71541000000001</v>
      </c>
      <c r="AG12" s="3"/>
      <c r="AH12" s="4"/>
      <c r="AI12" s="3"/>
      <c r="AJ12" s="17"/>
      <c r="AK12" s="17"/>
      <c r="AL12" s="6"/>
      <c r="AM12" s="3"/>
      <c r="AN12" s="3"/>
      <c r="AO12" s="7"/>
    </row>
    <row r="13" spans="1:41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G13" s="14">
        <v>9</v>
      </c>
      <c r="H13" s="17">
        <v>3.7850000000000001</v>
      </c>
      <c r="I13" s="3">
        <v>1.8593369920277556</v>
      </c>
      <c r="J13" s="4">
        <f t="shared" si="0"/>
        <v>0.49123830700865406</v>
      </c>
      <c r="K13" s="3"/>
      <c r="L13" s="17">
        <v>2.4</v>
      </c>
      <c r="M13" s="17"/>
      <c r="N13" s="6"/>
      <c r="O13" s="3"/>
      <c r="P13" s="3">
        <v>3.78</v>
      </c>
      <c r="Q13" s="7">
        <v>4.9283333333333337</v>
      </c>
      <c r="S13" s="14">
        <v>9</v>
      </c>
      <c r="T13" s="17">
        <v>5</v>
      </c>
      <c r="U13" s="3"/>
      <c r="V13" s="4"/>
      <c r="W13" s="3"/>
      <c r="X13" s="17"/>
      <c r="Y13" s="17"/>
      <c r="Z13" s="6"/>
      <c r="AA13" s="3"/>
      <c r="AB13" s="3"/>
      <c r="AC13" s="7"/>
      <c r="AE13" s="14">
        <v>9</v>
      </c>
      <c r="AF13" s="17">
        <v>6</v>
      </c>
      <c r="AG13" s="3"/>
      <c r="AH13" s="4"/>
      <c r="AI13" s="3"/>
      <c r="AJ13" s="17"/>
      <c r="AK13" s="17"/>
      <c r="AL13" s="6"/>
      <c r="AM13" s="3"/>
      <c r="AN13" s="3"/>
      <c r="AO13" s="7"/>
    </row>
    <row r="14" spans="1:41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G14" s="14">
        <v>0</v>
      </c>
      <c r="H14" s="17">
        <v>0.9</v>
      </c>
      <c r="I14" s="3">
        <v>-0.91500000000000004</v>
      </c>
      <c r="J14" s="4">
        <f t="shared" si="0"/>
        <v>-1.0166666666666666</v>
      </c>
      <c r="K14" s="3"/>
      <c r="L14" s="17">
        <v>1.3499999999999999</v>
      </c>
      <c r="M14" s="17"/>
      <c r="N14" s="6"/>
      <c r="O14" s="3"/>
      <c r="P14" s="3">
        <v>0.9</v>
      </c>
      <c r="Q14" s="7">
        <v>0.1</v>
      </c>
      <c r="S14" s="14">
        <v>0</v>
      </c>
      <c r="T14" s="17">
        <v>0</v>
      </c>
      <c r="U14" s="3"/>
      <c r="V14" s="4"/>
      <c r="W14" s="3"/>
      <c r="X14" s="17"/>
      <c r="Y14" s="17"/>
      <c r="Z14" s="6"/>
      <c r="AA14" s="3"/>
      <c r="AB14" s="3"/>
      <c r="AC14" s="7"/>
      <c r="AE14" s="14">
        <v>0</v>
      </c>
      <c r="AF14" s="17">
        <v>0</v>
      </c>
      <c r="AG14" s="3"/>
      <c r="AH14" s="4"/>
      <c r="AI14" s="3"/>
      <c r="AJ14" s="17"/>
      <c r="AK14" s="17"/>
      <c r="AL14" s="6"/>
      <c r="AM14" s="3"/>
      <c r="AN14" s="3"/>
      <c r="AO14" s="7"/>
    </row>
    <row r="15" spans="1:41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G15" s="14">
        <v>0</v>
      </c>
      <c r="H15" s="17">
        <v>0</v>
      </c>
      <c r="I15" s="3">
        <v>0</v>
      </c>
      <c r="J15" s="4">
        <f t="shared" si="0"/>
        <v>0</v>
      </c>
      <c r="K15" s="3"/>
      <c r="L15" s="17">
        <v>0</v>
      </c>
      <c r="M15" s="17"/>
      <c r="N15" s="6"/>
      <c r="O15" s="3"/>
      <c r="P15" s="3"/>
      <c r="Q15" s="7">
        <v>0</v>
      </c>
      <c r="S15" s="14">
        <v>0</v>
      </c>
      <c r="T15" s="17">
        <v>0</v>
      </c>
      <c r="U15" s="3"/>
      <c r="V15" s="4"/>
      <c r="W15" s="3"/>
      <c r="X15" s="17"/>
      <c r="Y15" s="17"/>
      <c r="Z15" s="6"/>
      <c r="AA15" s="3"/>
      <c r="AB15" s="3"/>
      <c r="AC15" s="7"/>
      <c r="AE15" s="14">
        <v>0</v>
      </c>
      <c r="AF15" s="17">
        <v>0</v>
      </c>
      <c r="AG15" s="3"/>
      <c r="AH15" s="4"/>
      <c r="AI15" s="3"/>
      <c r="AJ15" s="17"/>
      <c r="AK15" s="17"/>
      <c r="AL15" s="6"/>
      <c r="AM15" s="3"/>
      <c r="AN15" s="3"/>
      <c r="AO15" s="7"/>
    </row>
    <row r="16" spans="1:41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G16" s="14">
        <v>3</v>
      </c>
      <c r="H16" s="17">
        <v>4.5916899999999998</v>
      </c>
      <c r="I16" s="3">
        <v>1.4324625273205285</v>
      </c>
      <c r="J16" s="4">
        <f t="shared" si="0"/>
        <v>0.31196847507574088</v>
      </c>
      <c r="K16" s="3"/>
      <c r="L16" s="17">
        <v>3.6666666666666665</v>
      </c>
      <c r="M16" s="17"/>
      <c r="N16" s="6"/>
      <c r="O16" s="3"/>
      <c r="P16" s="3"/>
      <c r="Q16" s="7">
        <v>2.2652816666666666</v>
      </c>
      <c r="S16" s="14">
        <v>4</v>
      </c>
      <c r="T16" s="17">
        <v>4</v>
      </c>
      <c r="U16" s="3"/>
      <c r="V16" s="4"/>
      <c r="W16" s="3"/>
      <c r="X16" s="17"/>
      <c r="Y16" s="17"/>
      <c r="Z16" s="6"/>
      <c r="AA16" s="3"/>
      <c r="AB16" s="3"/>
      <c r="AC16" s="7"/>
      <c r="AE16" s="14">
        <v>5</v>
      </c>
      <c r="AF16" s="17">
        <v>5</v>
      </c>
      <c r="AG16" s="3"/>
      <c r="AH16" s="4"/>
      <c r="AI16" s="3"/>
      <c r="AJ16" s="17"/>
      <c r="AK16" s="17"/>
      <c r="AL16" s="6"/>
      <c r="AM16" s="3"/>
      <c r="AN16" s="3"/>
      <c r="AO16" s="7"/>
    </row>
    <row r="17" spans="1:41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G17" s="14">
        <v>105</v>
      </c>
      <c r="H17" s="17">
        <v>119.60778230000001</v>
      </c>
      <c r="I17" s="3">
        <v>45.798046329112786</v>
      </c>
      <c r="J17" s="4">
        <f t="shared" si="0"/>
        <v>0.38290189357614052</v>
      </c>
      <c r="K17" s="3"/>
      <c r="L17" s="17">
        <v>80.666666666666671</v>
      </c>
      <c r="M17" s="17"/>
      <c r="N17" s="6"/>
      <c r="O17" s="3"/>
      <c r="P17" s="3"/>
      <c r="Q17" s="7">
        <v>1.8414534459595959</v>
      </c>
      <c r="S17" s="14">
        <v>100</v>
      </c>
      <c r="T17" s="17">
        <v>121</v>
      </c>
      <c r="U17" s="3"/>
      <c r="V17" s="4"/>
      <c r="W17" s="3"/>
      <c r="X17" s="17"/>
      <c r="Y17" s="17"/>
      <c r="Z17" s="6"/>
      <c r="AA17" s="3"/>
      <c r="AB17" s="3"/>
      <c r="AC17" s="7"/>
      <c r="AE17" s="14">
        <v>100</v>
      </c>
      <c r="AF17" s="17">
        <v>124</v>
      </c>
      <c r="AG17" s="3"/>
      <c r="AH17" s="4"/>
      <c r="AI17" s="3"/>
      <c r="AJ17" s="17"/>
      <c r="AK17" s="17"/>
      <c r="AL17" s="6"/>
      <c r="AM17" s="3"/>
      <c r="AN17" s="3"/>
      <c r="AO17" s="7"/>
    </row>
    <row r="18" spans="1:41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G18" s="14">
        <v>20</v>
      </c>
      <c r="H18" s="17">
        <v>6.1910834999999995</v>
      </c>
      <c r="I18" s="3">
        <v>12.332741667468573</v>
      </c>
      <c r="J18" s="4">
        <f t="shared" si="0"/>
        <v>1.9920166910151631</v>
      </c>
      <c r="K18" s="3"/>
      <c r="L18" s="17">
        <v>10</v>
      </c>
      <c r="M18" s="17"/>
      <c r="N18" s="6"/>
      <c r="O18" s="3"/>
      <c r="P18" s="3"/>
      <c r="Q18" s="7">
        <v>8.4656759444444436</v>
      </c>
      <c r="S18" s="14">
        <v>20</v>
      </c>
      <c r="T18" s="17">
        <v>25</v>
      </c>
      <c r="U18" s="3"/>
      <c r="V18" s="4"/>
      <c r="W18" s="3"/>
      <c r="X18" s="17"/>
      <c r="Y18" s="17"/>
      <c r="Z18" s="6"/>
      <c r="AA18" s="3"/>
      <c r="AB18" s="3"/>
      <c r="AC18" s="7"/>
      <c r="AE18" s="14">
        <v>30</v>
      </c>
      <c r="AF18" s="17">
        <v>45</v>
      </c>
      <c r="AG18" s="3"/>
      <c r="AH18" s="4"/>
      <c r="AI18" s="3"/>
      <c r="AJ18" s="17"/>
      <c r="AK18" s="17"/>
      <c r="AL18" s="6"/>
      <c r="AM18" s="3"/>
      <c r="AN18" s="3"/>
      <c r="AO18" s="7"/>
    </row>
    <row r="19" spans="1:41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G19" s="14">
        <v>40</v>
      </c>
      <c r="H19" s="17">
        <v>39.987499999999997</v>
      </c>
      <c r="I19" s="3">
        <v>16.605902462209162</v>
      </c>
      <c r="J19" s="4">
        <f t="shared" si="0"/>
        <v>0.41527733572264242</v>
      </c>
      <c r="K19" s="3"/>
      <c r="L19" s="17">
        <v>12.199999999999998</v>
      </c>
      <c r="M19" s="17"/>
      <c r="N19" s="6"/>
      <c r="O19" s="3"/>
      <c r="P19" s="3">
        <v>40</v>
      </c>
      <c r="Q19" s="7">
        <v>2.86625</v>
      </c>
      <c r="S19" s="14">
        <v>60</v>
      </c>
      <c r="T19" s="17">
        <v>23</v>
      </c>
      <c r="U19" s="3"/>
      <c r="V19" s="4"/>
      <c r="W19" s="3"/>
      <c r="X19" s="17"/>
      <c r="Y19" s="17"/>
      <c r="Z19" s="6"/>
      <c r="AA19" s="3"/>
      <c r="AB19" s="3"/>
      <c r="AC19" s="7"/>
      <c r="AE19" s="14">
        <v>50</v>
      </c>
      <c r="AF19" s="17">
        <v>23</v>
      </c>
      <c r="AG19" s="3"/>
      <c r="AH19" s="4"/>
      <c r="AI19" s="3"/>
      <c r="AJ19" s="17"/>
      <c r="AK19" s="17"/>
      <c r="AL19" s="6"/>
      <c r="AM19" s="3"/>
      <c r="AN19" s="3"/>
      <c r="AO19" s="7"/>
    </row>
    <row r="20" spans="1:41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G20" s="14">
        <v>6.703333333333334</v>
      </c>
      <c r="H20" s="17">
        <v>6.9908000000000001</v>
      </c>
      <c r="I20" s="3">
        <v>4.9588260938679767</v>
      </c>
      <c r="J20" s="4">
        <f t="shared" si="0"/>
        <v>0.70933599786404655</v>
      </c>
      <c r="K20" s="3"/>
      <c r="L20" s="17">
        <v>4.333333333333333</v>
      </c>
      <c r="M20" s="17"/>
      <c r="N20" s="6"/>
      <c r="O20" s="3"/>
      <c r="P20" s="3">
        <v>6.99</v>
      </c>
      <c r="Q20" s="7">
        <v>2.5019809523809524</v>
      </c>
      <c r="S20" s="14">
        <v>6.703333333333334</v>
      </c>
      <c r="T20" s="17">
        <v>12.190000000000001</v>
      </c>
      <c r="U20" s="3"/>
      <c r="V20" s="4"/>
      <c r="W20" s="3"/>
      <c r="X20" s="17"/>
      <c r="Y20" s="17"/>
      <c r="Z20" s="6"/>
      <c r="AA20" s="3"/>
      <c r="AB20" s="3"/>
      <c r="AC20" s="7"/>
      <c r="AE20" s="14">
        <v>6.703333333333334</v>
      </c>
      <c r="AF20" s="17">
        <v>7.09</v>
      </c>
      <c r="AG20" s="3"/>
      <c r="AH20" s="4"/>
      <c r="AI20" s="3"/>
      <c r="AJ20" s="17"/>
      <c r="AK20" s="17"/>
      <c r="AL20" s="6"/>
      <c r="AM20" s="3"/>
      <c r="AN20" s="3"/>
      <c r="AO20" s="7"/>
    </row>
    <row r="21" spans="1:41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G21" s="14">
        <v>30</v>
      </c>
      <c r="H21" s="17">
        <v>26.27983</v>
      </c>
      <c r="I21" s="3">
        <v>3.5382942375971473</v>
      </c>
      <c r="J21" s="4">
        <f t="shared" si="0"/>
        <v>0.13463916005534082</v>
      </c>
      <c r="K21" s="3"/>
      <c r="L21" s="17">
        <v>35.5</v>
      </c>
      <c r="M21" s="17"/>
      <c r="N21" s="6"/>
      <c r="O21" s="3"/>
      <c r="P21" s="3">
        <v>26.27</v>
      </c>
      <c r="Q21" s="7">
        <v>1.0554572946859904</v>
      </c>
      <c r="S21" s="14">
        <v>30</v>
      </c>
      <c r="T21" s="17">
        <v>34.880000000000003</v>
      </c>
      <c r="U21" s="3"/>
      <c r="V21" s="4"/>
      <c r="W21" s="3"/>
      <c r="X21" s="17"/>
      <c r="Y21" s="17"/>
      <c r="Z21" s="6"/>
      <c r="AA21" s="3"/>
      <c r="AB21" s="3"/>
      <c r="AC21" s="7"/>
      <c r="AE21" s="14">
        <v>30</v>
      </c>
      <c r="AF21" s="17">
        <v>48.080000000000005</v>
      </c>
      <c r="AG21" s="3"/>
      <c r="AH21" s="4"/>
      <c r="AI21" s="3"/>
      <c r="AJ21" s="17"/>
      <c r="AK21" s="17"/>
      <c r="AL21" s="6"/>
      <c r="AM21" s="3"/>
      <c r="AN21" s="3"/>
      <c r="AO21" s="7"/>
    </row>
    <row r="22" spans="1:41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G22" s="14">
        <v>5</v>
      </c>
      <c r="H22" s="17">
        <v>0.1</v>
      </c>
      <c r="I22" s="3">
        <v>0.8944301000144349</v>
      </c>
      <c r="J22" s="4">
        <f t="shared" si="0"/>
        <v>8.9443010001443479</v>
      </c>
      <c r="K22" s="3"/>
      <c r="L22" s="17">
        <v>0.66666666666666663</v>
      </c>
      <c r="M22" s="17"/>
      <c r="N22" s="6"/>
      <c r="O22" s="3"/>
      <c r="P22" s="3">
        <f>10000/100000</f>
        <v>0.1</v>
      </c>
      <c r="Q22" s="7">
        <v>0</v>
      </c>
      <c r="S22" s="14">
        <v>5</v>
      </c>
      <c r="T22" s="17">
        <v>2.4849999999999999</v>
      </c>
      <c r="U22" s="3"/>
      <c r="V22" s="4"/>
      <c r="W22" s="3"/>
      <c r="X22" s="17"/>
      <c r="Y22" s="17"/>
      <c r="Z22" s="6"/>
      <c r="AA22" s="3"/>
      <c r="AB22" s="3"/>
      <c r="AC22" s="7"/>
      <c r="AE22" s="14">
        <v>5</v>
      </c>
      <c r="AF22" s="17">
        <v>2.16</v>
      </c>
      <c r="AG22" s="3"/>
      <c r="AH22" s="4"/>
      <c r="AI22" s="3"/>
      <c r="AJ22" s="17"/>
      <c r="AK22" s="17"/>
      <c r="AL22" s="6"/>
      <c r="AM22" s="3"/>
      <c r="AN22" s="3"/>
      <c r="AO22" s="7"/>
    </row>
    <row r="23" spans="1:41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G23" s="14">
        <v>1.3333333333333333</v>
      </c>
      <c r="H23" s="17">
        <v>0.68445</v>
      </c>
      <c r="I23" s="3">
        <v>-0.20664055542154255</v>
      </c>
      <c r="J23" s="4">
        <f t="shared" si="0"/>
        <v>-0.30190745185410556</v>
      </c>
      <c r="K23" s="3"/>
      <c r="L23" s="17">
        <v>1</v>
      </c>
      <c r="M23" s="17"/>
      <c r="N23" s="6"/>
      <c r="O23" s="3"/>
      <c r="P23" s="3">
        <v>0.68</v>
      </c>
      <c r="Q23" s="7">
        <v>0.8948166666666667</v>
      </c>
      <c r="S23" s="14">
        <v>1.3333333333333333</v>
      </c>
      <c r="T23" s="17">
        <v>1</v>
      </c>
      <c r="U23" s="3"/>
      <c r="V23" s="4"/>
      <c r="W23" s="3"/>
      <c r="X23" s="17"/>
      <c r="Y23" s="17"/>
      <c r="Z23" s="6"/>
      <c r="AA23" s="3"/>
      <c r="AB23" s="3"/>
      <c r="AC23" s="7"/>
      <c r="AE23" s="14">
        <v>1.3333333333333333</v>
      </c>
      <c r="AF23" s="17">
        <v>1</v>
      </c>
      <c r="AG23" s="3"/>
      <c r="AH23" s="4"/>
      <c r="AI23" s="3"/>
      <c r="AJ23" s="17"/>
      <c r="AK23" s="17"/>
      <c r="AL23" s="6"/>
      <c r="AM23" s="3"/>
      <c r="AN23" s="3"/>
      <c r="AO23" s="7"/>
    </row>
    <row r="24" spans="1:41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G24" s="14">
        <v>10</v>
      </c>
      <c r="H24" s="17">
        <v>1.6505700000000001</v>
      </c>
      <c r="I24" s="3">
        <v>-0.80506115618567142</v>
      </c>
      <c r="J24" s="4">
        <f t="shared" si="0"/>
        <v>-0.48774735769199207</v>
      </c>
      <c r="K24" s="3"/>
      <c r="L24" s="17">
        <v>5</v>
      </c>
      <c r="M24" s="17"/>
      <c r="N24" s="6"/>
      <c r="O24" s="3"/>
      <c r="P24" s="3"/>
      <c r="Q24" s="7">
        <v>1.3667279569892472</v>
      </c>
      <c r="S24" s="14">
        <v>11</v>
      </c>
      <c r="T24" s="17">
        <v>2.8</v>
      </c>
      <c r="U24" s="3"/>
      <c r="V24" s="4"/>
      <c r="W24" s="3"/>
      <c r="X24" s="17"/>
      <c r="Y24" s="17"/>
      <c r="Z24" s="6"/>
      <c r="AA24" s="3"/>
      <c r="AB24" s="3"/>
      <c r="AC24" s="7"/>
      <c r="AE24" s="14">
        <v>11</v>
      </c>
      <c r="AF24" s="17">
        <v>8.26</v>
      </c>
      <c r="AG24" s="3"/>
      <c r="AH24" s="4"/>
      <c r="AI24" s="3"/>
      <c r="AJ24" s="17"/>
      <c r="AK24" s="17"/>
      <c r="AL24" s="6"/>
      <c r="AM24" s="3"/>
      <c r="AN24" s="3"/>
      <c r="AO24" s="7"/>
    </row>
    <row r="25" spans="1:41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G25" s="14">
        <v>7</v>
      </c>
      <c r="H25" s="17">
        <v>10.015700000000001</v>
      </c>
      <c r="I25" s="3">
        <v>4.84458093899734</v>
      </c>
      <c r="J25" s="4">
        <f t="shared" si="0"/>
        <v>0.48369868696120488</v>
      </c>
      <c r="K25" s="3"/>
      <c r="L25" s="17">
        <v>5</v>
      </c>
      <c r="M25" s="17"/>
      <c r="N25" s="6"/>
      <c r="O25" s="3"/>
      <c r="P25" s="3"/>
      <c r="Q25" s="7">
        <v>2.4596416666666667</v>
      </c>
      <c r="S25" s="14">
        <v>7</v>
      </c>
      <c r="T25" s="17">
        <v>9.8000000000000007</v>
      </c>
      <c r="U25" s="3"/>
      <c r="V25" s="4"/>
      <c r="W25" s="3"/>
      <c r="X25" s="17"/>
      <c r="Y25" s="17"/>
      <c r="Z25" s="6"/>
      <c r="AA25" s="3"/>
      <c r="AB25" s="3"/>
      <c r="AC25" s="7"/>
      <c r="AE25" s="14">
        <v>7</v>
      </c>
      <c r="AF25" s="17">
        <v>9.6999999999999993</v>
      </c>
      <c r="AG25" s="3"/>
      <c r="AH25" s="4"/>
      <c r="AI25" s="3"/>
      <c r="AJ25" s="17"/>
      <c r="AK25" s="17"/>
      <c r="AL25" s="6"/>
      <c r="AM25" s="3"/>
      <c r="AN25" s="3"/>
      <c r="AO25" s="7"/>
    </row>
    <row r="26" spans="1:41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G26" s="14">
        <v>16</v>
      </c>
      <c r="H26" s="17">
        <v>24.223479999999999</v>
      </c>
      <c r="I26" s="3">
        <v>-5.7914111873014162</v>
      </c>
      <c r="J26" s="4">
        <f t="shared" si="0"/>
        <v>-0.23908254252904276</v>
      </c>
      <c r="K26" s="3"/>
      <c r="L26" s="17">
        <v>18.666666666666668</v>
      </c>
      <c r="M26" s="17"/>
      <c r="N26" s="6"/>
      <c r="O26" s="3"/>
      <c r="P26" s="3">
        <v>24.22</v>
      </c>
      <c r="Q26" s="7">
        <v>0.94555843137254891</v>
      </c>
      <c r="S26" s="14">
        <v>16</v>
      </c>
      <c r="T26" s="17">
        <v>12</v>
      </c>
      <c r="U26" s="3"/>
      <c r="V26" s="4"/>
      <c r="W26" s="3"/>
      <c r="X26" s="17"/>
      <c r="Y26" s="17"/>
      <c r="Z26" s="6"/>
      <c r="AA26" s="3"/>
      <c r="AB26" s="3"/>
      <c r="AC26" s="7"/>
      <c r="AE26" s="14">
        <v>16</v>
      </c>
      <c r="AF26" s="17">
        <v>12</v>
      </c>
      <c r="AG26" s="3"/>
      <c r="AH26" s="4"/>
      <c r="AI26" s="3"/>
      <c r="AJ26" s="17"/>
      <c r="AK26" s="17"/>
      <c r="AL26" s="6"/>
      <c r="AM26" s="3"/>
      <c r="AN26" s="3"/>
      <c r="AO26" s="7"/>
    </row>
    <row r="27" spans="1:41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G27" s="14">
        <v>0</v>
      </c>
      <c r="H27" s="17">
        <v>0</v>
      </c>
      <c r="I27" s="3">
        <v>-0.43439174266359831</v>
      </c>
      <c r="J27" s="4">
        <f t="shared" si="0"/>
        <v>0</v>
      </c>
      <c r="K27" s="3"/>
      <c r="L27" s="17">
        <v>0.33333333333333331</v>
      </c>
      <c r="M27" s="17"/>
      <c r="N27" s="6"/>
      <c r="O27" s="3"/>
      <c r="P27" s="3"/>
      <c r="Q27" s="7">
        <v>0</v>
      </c>
      <c r="S27" s="14">
        <v>15</v>
      </c>
      <c r="T27" s="17">
        <v>0</v>
      </c>
      <c r="U27" s="3"/>
      <c r="V27" s="4"/>
      <c r="W27" s="3"/>
      <c r="X27" s="17"/>
      <c r="Y27" s="17"/>
      <c r="Z27" s="6"/>
      <c r="AA27" s="3"/>
      <c r="AB27" s="3"/>
      <c r="AC27" s="7"/>
      <c r="AE27" s="14">
        <v>3</v>
      </c>
      <c r="AF27" s="17">
        <v>0</v>
      </c>
      <c r="AG27" s="3"/>
      <c r="AH27" s="4"/>
      <c r="AI27" s="3"/>
      <c r="AJ27" s="17"/>
      <c r="AK27" s="17"/>
      <c r="AL27" s="6"/>
      <c r="AM27" s="3"/>
      <c r="AN27" s="3"/>
      <c r="AO27" s="7"/>
    </row>
    <row r="28" spans="1:41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G28" s="14">
        <v>12</v>
      </c>
      <c r="H28" s="17">
        <v>10.29</v>
      </c>
      <c r="I28" s="3">
        <v>-7.6009084794700739E-3</v>
      </c>
      <c r="J28" s="4">
        <f t="shared" si="0"/>
        <v>-7.3866943435083325E-4</v>
      </c>
      <c r="K28" s="3"/>
      <c r="L28" s="17">
        <v>13.333333333333334</v>
      </c>
      <c r="M28" s="17"/>
      <c r="N28" s="6"/>
      <c r="O28" s="3"/>
      <c r="P28" s="3"/>
      <c r="Q28" s="7">
        <v>0.98200589970501451</v>
      </c>
      <c r="S28" s="14">
        <v>9</v>
      </c>
      <c r="T28" s="17">
        <v>14.4</v>
      </c>
      <c r="U28" s="3"/>
      <c r="V28" s="4"/>
      <c r="W28" s="3"/>
      <c r="X28" s="17"/>
      <c r="Y28" s="17"/>
      <c r="Z28" s="6"/>
      <c r="AA28" s="3"/>
      <c r="AB28" s="3"/>
      <c r="AC28" s="7"/>
      <c r="AE28" s="14">
        <v>12</v>
      </c>
      <c r="AF28" s="17">
        <v>8.6</v>
      </c>
      <c r="AG28" s="3"/>
      <c r="AH28" s="4"/>
      <c r="AI28" s="3"/>
      <c r="AJ28" s="17"/>
      <c r="AK28" s="17"/>
      <c r="AL28" s="6"/>
      <c r="AM28" s="3"/>
      <c r="AN28" s="3"/>
      <c r="AO28" s="7"/>
    </row>
    <row r="29" spans="1:41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G29" s="14">
        <v>4</v>
      </c>
      <c r="H29" s="17">
        <v>5.4947099999999995</v>
      </c>
      <c r="I29" s="3">
        <v>-0.1393034954768749</v>
      </c>
      <c r="J29" s="4">
        <f t="shared" si="0"/>
        <v>-2.5352292564461986E-2</v>
      </c>
      <c r="K29" s="3"/>
      <c r="L29" s="17">
        <v>7</v>
      </c>
      <c r="M29" s="17"/>
      <c r="N29" s="6"/>
      <c r="O29" s="3"/>
      <c r="P29" s="3">
        <v>5.49</v>
      </c>
      <c r="Q29" s="7">
        <v>1.0472616666666665</v>
      </c>
      <c r="S29" s="14">
        <v>4</v>
      </c>
      <c r="T29" s="17">
        <v>6.48</v>
      </c>
      <c r="U29" s="3"/>
      <c r="V29" s="4"/>
      <c r="W29" s="3"/>
      <c r="X29" s="17"/>
      <c r="Y29" s="17"/>
      <c r="Z29" s="6"/>
      <c r="AA29" s="3"/>
      <c r="AB29" s="3"/>
      <c r="AC29" s="7"/>
      <c r="AE29" s="14">
        <v>4</v>
      </c>
      <c r="AF29" s="17">
        <v>6.8759999999999994</v>
      </c>
      <c r="AG29" s="3"/>
      <c r="AH29" s="4"/>
      <c r="AI29" s="3"/>
      <c r="AJ29" s="17"/>
      <c r="AK29" s="17"/>
      <c r="AL29" s="6"/>
      <c r="AM29" s="3"/>
      <c r="AN29" s="3"/>
      <c r="AO29" s="7"/>
    </row>
    <row r="30" spans="1:41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G30" s="14">
        <v>0</v>
      </c>
      <c r="H30" s="17">
        <v>0</v>
      </c>
      <c r="I30" s="3">
        <v>0.6</v>
      </c>
      <c r="J30" s="4">
        <f t="shared" si="0"/>
        <v>0</v>
      </c>
      <c r="K30" s="3"/>
      <c r="L30" s="17">
        <v>0</v>
      </c>
      <c r="M30" s="17"/>
      <c r="N30" s="6"/>
      <c r="O30" s="3"/>
      <c r="P30" s="3"/>
      <c r="Q30" s="7">
        <v>0</v>
      </c>
      <c r="S30" s="14">
        <v>0</v>
      </c>
      <c r="T30" s="17">
        <v>0</v>
      </c>
      <c r="U30" s="3"/>
      <c r="V30" s="4"/>
      <c r="W30" s="3"/>
      <c r="X30" s="17"/>
      <c r="Y30" s="17"/>
      <c r="Z30" s="6"/>
      <c r="AA30" s="3"/>
      <c r="AB30" s="3"/>
      <c r="AC30" s="7"/>
      <c r="AE30" s="14">
        <v>3</v>
      </c>
      <c r="AF30" s="17">
        <v>1.8</v>
      </c>
      <c r="AG30" s="3"/>
      <c r="AH30" s="4"/>
      <c r="AI30" s="3"/>
      <c r="AJ30" s="17"/>
      <c r="AK30" s="17"/>
      <c r="AL30" s="6"/>
      <c r="AM30" s="3"/>
      <c r="AN30" s="3"/>
      <c r="AO30" s="7"/>
    </row>
    <row r="31" spans="1:41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G31" s="14">
        <v>35</v>
      </c>
      <c r="H31" s="17">
        <v>26.5</v>
      </c>
      <c r="I31" s="3">
        <v>-2.604686874742915</v>
      </c>
      <c r="J31" s="4">
        <f t="shared" si="0"/>
        <v>-9.8290070745015667E-2</v>
      </c>
      <c r="K31" s="3"/>
      <c r="L31" s="17">
        <v>27.666666666666668</v>
      </c>
      <c r="M31" s="17"/>
      <c r="N31" s="6"/>
      <c r="O31" s="3"/>
      <c r="P31" s="3">
        <v>26.5</v>
      </c>
      <c r="Q31" s="7">
        <v>0.97046413502109707</v>
      </c>
      <c r="S31" s="14">
        <v>35</v>
      </c>
      <c r="T31" s="17">
        <v>28.8</v>
      </c>
      <c r="U31" s="3"/>
      <c r="V31" s="4"/>
      <c r="W31" s="3"/>
      <c r="X31" s="17"/>
      <c r="Y31" s="17"/>
      <c r="Z31" s="6"/>
      <c r="AA31" s="3"/>
      <c r="AB31" s="3"/>
      <c r="AC31" s="7"/>
      <c r="AE31" s="14">
        <v>30</v>
      </c>
      <c r="AF31" s="17">
        <v>13.7</v>
      </c>
      <c r="AG31" s="3"/>
      <c r="AH31" s="4"/>
      <c r="AI31" s="3"/>
      <c r="AJ31" s="17"/>
      <c r="AK31" s="17"/>
      <c r="AL31" s="6"/>
      <c r="AM31" s="3"/>
      <c r="AN31" s="3"/>
      <c r="AO31" s="7"/>
    </row>
    <row r="32" spans="1:41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G32" s="14">
        <v>20.91</v>
      </c>
      <c r="H32" s="17">
        <v>30.8</v>
      </c>
      <c r="I32" s="3">
        <v>14.827293382532636</v>
      </c>
      <c r="J32" s="4">
        <f t="shared" si="0"/>
        <v>0.48140562930300762</v>
      </c>
      <c r="K32" s="3"/>
      <c r="L32" s="17">
        <v>14.333333333333334</v>
      </c>
      <c r="M32" s="17"/>
      <c r="N32" s="6"/>
      <c r="O32" s="3"/>
      <c r="P32" s="3">
        <v>30.8</v>
      </c>
      <c r="Q32" s="7">
        <v>2.1102564102564103</v>
      </c>
      <c r="S32" s="14">
        <v>20.91</v>
      </c>
      <c r="T32" s="17">
        <v>28.75</v>
      </c>
      <c r="U32" s="3"/>
      <c r="V32" s="4"/>
      <c r="W32" s="3"/>
      <c r="X32" s="17"/>
      <c r="Y32" s="17"/>
      <c r="Z32" s="6"/>
      <c r="AA32" s="3"/>
      <c r="AB32" s="3"/>
      <c r="AC32" s="7"/>
      <c r="AE32" s="14">
        <v>20.91</v>
      </c>
      <c r="AF32" s="17">
        <v>22.75</v>
      </c>
      <c r="AG32" s="3"/>
      <c r="AH32" s="4"/>
      <c r="AI32" s="3"/>
      <c r="AJ32" s="17"/>
      <c r="AK32" s="17"/>
      <c r="AL32" s="6"/>
      <c r="AM32" s="3"/>
      <c r="AN32" s="3"/>
      <c r="AO32" s="7"/>
    </row>
    <row r="33" spans="1:41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G33" s="14">
        <v>1</v>
      </c>
      <c r="H33" s="17">
        <v>0</v>
      </c>
      <c r="I33" s="3">
        <v>-1.2224075445787013</v>
      </c>
      <c r="J33" s="4">
        <f t="shared" si="0"/>
        <v>0</v>
      </c>
      <c r="K33" s="3"/>
      <c r="L33" s="17">
        <v>1</v>
      </c>
      <c r="M33" s="17"/>
      <c r="N33" s="6"/>
      <c r="O33" s="3"/>
      <c r="P33" s="3"/>
      <c r="Q33" s="7">
        <v>0</v>
      </c>
      <c r="S33" s="14">
        <v>1.5</v>
      </c>
      <c r="T33" s="17">
        <v>0</v>
      </c>
      <c r="U33" s="3"/>
      <c r="V33" s="4"/>
      <c r="W33" s="3"/>
      <c r="X33" s="17"/>
      <c r="Y33" s="17"/>
      <c r="Z33" s="6"/>
      <c r="AA33" s="3"/>
      <c r="AB33" s="3"/>
      <c r="AC33" s="7"/>
      <c r="AE33" s="14">
        <v>1</v>
      </c>
      <c r="AF33" s="17">
        <v>0</v>
      </c>
      <c r="AG33" s="3"/>
      <c r="AH33" s="4"/>
      <c r="AI33" s="3"/>
      <c r="AJ33" s="17"/>
      <c r="AK33" s="17"/>
      <c r="AL33" s="6"/>
      <c r="AM33" s="3"/>
      <c r="AN33" s="3"/>
      <c r="AO33" s="7"/>
    </row>
    <row r="34" spans="1:41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G34" s="14">
        <v>0</v>
      </c>
      <c r="H34" s="17">
        <v>0</v>
      </c>
      <c r="I34" s="3">
        <v>0</v>
      </c>
      <c r="J34" s="4">
        <f t="shared" si="0"/>
        <v>0</v>
      </c>
      <c r="K34" s="3"/>
      <c r="L34" s="17">
        <v>0</v>
      </c>
      <c r="M34" s="17"/>
      <c r="N34" s="6"/>
      <c r="O34" s="3"/>
      <c r="P34" s="3"/>
      <c r="Q34" s="7">
        <v>0</v>
      </c>
      <c r="S34" s="14">
        <v>0</v>
      </c>
      <c r="T34" s="17">
        <v>0</v>
      </c>
      <c r="U34" s="3"/>
      <c r="V34" s="4"/>
      <c r="W34" s="3"/>
      <c r="X34" s="17"/>
      <c r="Y34" s="17"/>
      <c r="Z34" s="6"/>
      <c r="AA34" s="3"/>
      <c r="AB34" s="3"/>
      <c r="AC34" s="7"/>
      <c r="AE34" s="14">
        <v>0</v>
      </c>
      <c r="AF34" s="17">
        <v>0</v>
      </c>
      <c r="AG34" s="3"/>
      <c r="AH34" s="4"/>
      <c r="AI34" s="3"/>
      <c r="AJ34" s="17"/>
      <c r="AK34" s="17"/>
      <c r="AL34" s="6"/>
      <c r="AM34" s="3"/>
      <c r="AN34" s="3"/>
      <c r="AO34" s="7"/>
    </row>
    <row r="35" spans="1:41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G35" s="14">
        <v>3</v>
      </c>
      <c r="H35" s="17">
        <v>3.81</v>
      </c>
      <c r="I35" s="3">
        <v>0.33530240421176227</v>
      </c>
      <c r="J35" s="4">
        <f t="shared" si="0"/>
        <v>8.8005880370541273E-2</v>
      </c>
      <c r="K35" s="3"/>
      <c r="L35" s="17">
        <v>2.3333333333333335</v>
      </c>
      <c r="M35" s="17"/>
      <c r="N35" s="6"/>
      <c r="O35" s="3"/>
      <c r="P35" s="3"/>
      <c r="Q35" s="7">
        <v>1.2174603174603174</v>
      </c>
      <c r="S35" s="14">
        <v>2.6</v>
      </c>
      <c r="T35" s="17">
        <v>2.7</v>
      </c>
      <c r="U35" s="3"/>
      <c r="V35" s="4"/>
      <c r="W35" s="3"/>
      <c r="X35" s="17"/>
      <c r="Y35" s="17"/>
      <c r="Z35" s="6"/>
      <c r="AA35" s="3"/>
      <c r="AB35" s="3"/>
      <c r="AC35" s="7"/>
      <c r="AE35" s="14">
        <v>3</v>
      </c>
      <c r="AF35" s="17">
        <v>1.1599999999999999</v>
      </c>
      <c r="AG35" s="3"/>
      <c r="AH35" s="4"/>
      <c r="AI35" s="3"/>
      <c r="AJ35" s="17"/>
      <c r="AK35" s="17"/>
      <c r="AL35" s="6"/>
      <c r="AM35" s="3"/>
      <c r="AN35" s="3"/>
      <c r="AO35" s="7"/>
    </row>
    <row r="36" spans="1:41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G36" s="14">
        <v>7.87</v>
      </c>
      <c r="H36" s="17">
        <v>3.6067749999999998</v>
      </c>
      <c r="I36" s="3">
        <v>2.1636641240935273</v>
      </c>
      <c r="J36" s="4">
        <f t="shared" si="0"/>
        <v>0.59988885475071974</v>
      </c>
      <c r="K36" s="3"/>
      <c r="L36" s="17">
        <v>5.333333333333333</v>
      </c>
      <c r="M36" s="17"/>
      <c r="N36" s="6"/>
      <c r="O36" s="3"/>
      <c r="P36" s="3">
        <v>3.6</v>
      </c>
      <c r="Q36" s="7">
        <v>1.6388979166666668</v>
      </c>
      <c r="S36" s="14">
        <v>7.87</v>
      </c>
      <c r="T36" s="17">
        <v>8.3000000000000007</v>
      </c>
      <c r="U36" s="3"/>
      <c r="V36" s="4"/>
      <c r="W36" s="3"/>
      <c r="X36" s="17"/>
      <c r="Y36" s="17"/>
      <c r="Z36" s="6"/>
      <c r="AA36" s="3"/>
      <c r="AB36" s="3"/>
      <c r="AC36" s="7"/>
      <c r="AE36" s="14">
        <v>7.87</v>
      </c>
      <c r="AF36" s="17">
        <v>7.76</v>
      </c>
      <c r="AG36" s="3"/>
      <c r="AH36" s="4"/>
      <c r="AI36" s="3"/>
      <c r="AJ36" s="17"/>
      <c r="AK36" s="17"/>
      <c r="AL36" s="6"/>
      <c r="AM36" s="3"/>
      <c r="AN36" s="3"/>
      <c r="AO36" s="7"/>
    </row>
    <row r="37" spans="1:41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G37" s="14">
        <v>40</v>
      </c>
      <c r="H37" s="17">
        <v>37.19</v>
      </c>
      <c r="I37" s="3">
        <v>-10.621458196587033</v>
      </c>
      <c r="J37" s="4">
        <f t="shared" si="0"/>
        <v>-0.28559984395232679</v>
      </c>
      <c r="K37" s="3"/>
      <c r="L37" s="17">
        <v>40.666666666666664</v>
      </c>
      <c r="M37" s="17"/>
      <c r="N37" s="6"/>
      <c r="O37" s="3"/>
      <c r="P37" s="3">
        <v>37.19</v>
      </c>
      <c r="Q37" s="7">
        <v>1.6331372549019607</v>
      </c>
      <c r="S37" s="14">
        <v>36</v>
      </c>
      <c r="T37" s="17">
        <v>24.3</v>
      </c>
      <c r="U37" s="3"/>
      <c r="V37" s="4"/>
      <c r="W37" s="3"/>
      <c r="X37" s="17"/>
      <c r="Y37" s="17"/>
      <c r="Z37" s="6"/>
      <c r="AA37" s="3"/>
      <c r="AB37" s="3"/>
      <c r="AC37" s="7"/>
      <c r="AE37" s="14">
        <v>36</v>
      </c>
      <c r="AF37" s="17">
        <v>21.8</v>
      </c>
      <c r="AG37" s="3"/>
      <c r="AH37" s="4"/>
      <c r="AI37" s="3"/>
      <c r="AJ37" s="17"/>
      <c r="AK37" s="17"/>
      <c r="AL37" s="6"/>
      <c r="AM37" s="3"/>
      <c r="AN37" s="3"/>
      <c r="AO37" s="7"/>
    </row>
    <row r="38" spans="1:41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G38" s="14">
        <v>14</v>
      </c>
      <c r="H38" s="17">
        <v>12</v>
      </c>
      <c r="I38" s="3">
        <v>6.3943992616107979</v>
      </c>
      <c r="J38" s="4">
        <f t="shared" si="0"/>
        <v>0.53286660513423312</v>
      </c>
      <c r="K38" s="3"/>
      <c r="L38" s="17">
        <v>11.666666666666666</v>
      </c>
      <c r="M38" s="17"/>
      <c r="N38" s="6"/>
      <c r="O38" s="3"/>
      <c r="P38" s="3"/>
      <c r="Q38" s="7">
        <v>2.1904761904761907</v>
      </c>
      <c r="S38" s="14">
        <v>15</v>
      </c>
      <c r="T38" s="17">
        <v>18</v>
      </c>
      <c r="U38" s="3"/>
      <c r="V38" s="4"/>
      <c r="W38" s="3"/>
      <c r="X38" s="17"/>
      <c r="Y38" s="17"/>
      <c r="Z38" s="6"/>
      <c r="AA38" s="3"/>
      <c r="AB38" s="3"/>
      <c r="AC38" s="7"/>
      <c r="AE38" s="14">
        <v>17</v>
      </c>
      <c r="AF38" s="17">
        <v>24.4</v>
      </c>
      <c r="AG38" s="3"/>
      <c r="AH38" s="4"/>
      <c r="AI38" s="3"/>
      <c r="AJ38" s="17"/>
      <c r="AK38" s="17"/>
      <c r="AL38" s="6"/>
      <c r="AM38" s="3"/>
      <c r="AN38" s="3"/>
      <c r="AO38" s="7"/>
    </row>
    <row r="39" spans="1:41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G39" s="14">
        <v>5</v>
      </c>
      <c r="H39" s="17">
        <v>4.83</v>
      </c>
      <c r="I39" s="3">
        <v>2.4016443555995544</v>
      </c>
      <c r="J39" s="4">
        <f t="shared" si="0"/>
        <v>0.49723485623179181</v>
      </c>
      <c r="K39" s="3"/>
      <c r="L39" s="17">
        <v>3</v>
      </c>
      <c r="M39" s="17"/>
      <c r="N39" s="6"/>
      <c r="O39" s="3"/>
      <c r="P39" s="3"/>
      <c r="Q39" s="7">
        <v>2.6029176666666669</v>
      </c>
      <c r="S39" s="14">
        <v>5</v>
      </c>
      <c r="T39" s="17">
        <v>7.3425019999999996</v>
      </c>
      <c r="U39" s="3"/>
      <c r="V39" s="4"/>
      <c r="W39" s="3"/>
      <c r="X39" s="17"/>
      <c r="Y39" s="17"/>
      <c r="Z39" s="6"/>
      <c r="AA39" s="3"/>
      <c r="AB39" s="3"/>
      <c r="AC39" s="7"/>
      <c r="AE39" s="14">
        <v>5.5</v>
      </c>
      <c r="AF39" s="17">
        <v>3.4450040000000004</v>
      </c>
      <c r="AG39" s="3"/>
      <c r="AH39" s="4"/>
      <c r="AI39" s="3"/>
      <c r="AJ39" s="17"/>
      <c r="AK39" s="17"/>
      <c r="AL39" s="6"/>
      <c r="AM39" s="3"/>
      <c r="AN39" s="3"/>
      <c r="AO39" s="7"/>
    </row>
    <row r="40" spans="1:41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G40" s="14">
        <v>3</v>
      </c>
      <c r="H40" s="17">
        <v>3.5616104000000002</v>
      </c>
      <c r="I40" s="3">
        <v>3.0382940431250547</v>
      </c>
      <c r="J40" s="4">
        <f t="shared" si="0"/>
        <v>0.85306748967406842</v>
      </c>
      <c r="K40" s="3"/>
      <c r="L40" s="17">
        <v>4</v>
      </c>
      <c r="M40" s="17"/>
      <c r="N40" s="6"/>
      <c r="O40" s="3"/>
      <c r="P40" s="3"/>
      <c r="Q40" s="7">
        <v>2.3077000430107528</v>
      </c>
      <c r="S40" s="14">
        <v>4</v>
      </c>
      <c r="T40" s="17">
        <v>8.6</v>
      </c>
      <c r="U40" s="3"/>
      <c r="V40" s="4"/>
      <c r="W40" s="3"/>
      <c r="X40" s="17"/>
      <c r="Y40" s="17"/>
      <c r="Z40" s="6"/>
      <c r="AA40" s="3"/>
      <c r="AB40" s="3"/>
      <c r="AC40" s="7"/>
      <c r="AE40" s="14">
        <v>5</v>
      </c>
      <c r="AF40" s="17">
        <v>9.3000000000000007</v>
      </c>
      <c r="AG40" s="3"/>
      <c r="AH40" s="4"/>
      <c r="AI40" s="3"/>
      <c r="AJ40" s="17"/>
      <c r="AK40" s="17"/>
      <c r="AL40" s="6"/>
      <c r="AM40" s="3"/>
      <c r="AN40" s="3"/>
      <c r="AO40" s="7"/>
    </row>
    <row r="41" spans="1:41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G41" s="14">
        <v>0</v>
      </c>
      <c r="H41" s="17">
        <v>0</v>
      </c>
      <c r="I41" s="3">
        <v>0</v>
      </c>
      <c r="J41" s="4">
        <f t="shared" si="0"/>
        <v>0</v>
      </c>
      <c r="K41" s="3"/>
      <c r="L41" s="17">
        <v>0</v>
      </c>
      <c r="M41" s="17"/>
      <c r="N41" s="6"/>
      <c r="O41" s="3"/>
      <c r="P41" s="3"/>
      <c r="Q41" s="7">
        <v>0</v>
      </c>
      <c r="S41" s="14">
        <v>0</v>
      </c>
      <c r="T41" s="17">
        <v>0</v>
      </c>
      <c r="U41" s="3"/>
      <c r="V41" s="4"/>
      <c r="W41" s="3"/>
      <c r="X41" s="17"/>
      <c r="Y41" s="17"/>
      <c r="Z41" s="6"/>
      <c r="AA41" s="3"/>
      <c r="AB41" s="3"/>
      <c r="AC41" s="7"/>
      <c r="AE41" s="14">
        <v>0</v>
      </c>
      <c r="AF41" s="17">
        <v>0</v>
      </c>
      <c r="AG41" s="3"/>
      <c r="AH41" s="4"/>
      <c r="AI41" s="3"/>
      <c r="AJ41" s="17"/>
      <c r="AK41" s="17"/>
      <c r="AL41" s="6"/>
      <c r="AM41" s="3"/>
      <c r="AN41" s="3"/>
      <c r="AO41" s="7"/>
    </row>
    <row r="42" spans="1:41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G42" s="14">
        <v>9.5</v>
      </c>
      <c r="H42" s="17">
        <v>10.17</v>
      </c>
      <c r="I42" s="3">
        <v>3.984591770590749</v>
      </c>
      <c r="J42" s="4">
        <f t="shared" si="0"/>
        <v>0.39179860084471474</v>
      </c>
      <c r="K42" s="3"/>
      <c r="L42" s="17">
        <v>5</v>
      </c>
      <c r="M42" s="17"/>
      <c r="N42" s="6"/>
      <c r="O42" s="3"/>
      <c r="P42" s="3">
        <v>10.17</v>
      </c>
      <c r="Q42" s="7">
        <v>2.9510416666666659</v>
      </c>
      <c r="S42" s="14">
        <v>9.5</v>
      </c>
      <c r="T42" s="17">
        <v>10.02</v>
      </c>
      <c r="U42" s="3"/>
      <c r="V42" s="4"/>
      <c r="W42" s="3"/>
      <c r="X42" s="17"/>
      <c r="Y42" s="17"/>
      <c r="Z42" s="6"/>
      <c r="AA42" s="3"/>
      <c r="AB42" s="3"/>
      <c r="AC42" s="7"/>
      <c r="AE42" s="14">
        <v>9.5</v>
      </c>
      <c r="AF42" s="17">
        <v>8.14</v>
      </c>
      <c r="AG42" s="3"/>
      <c r="AH42" s="4"/>
      <c r="AI42" s="3"/>
      <c r="AJ42" s="17"/>
      <c r="AK42" s="17"/>
      <c r="AL42" s="6"/>
      <c r="AM42" s="3"/>
      <c r="AN42" s="3"/>
      <c r="AO42" s="7"/>
    </row>
    <row r="43" spans="1:41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G43" s="14">
        <v>0</v>
      </c>
      <c r="H43" s="17">
        <v>0</v>
      </c>
      <c r="I43" s="3">
        <v>3.3333333333333326E-2</v>
      </c>
      <c r="J43" s="4">
        <f t="shared" si="0"/>
        <v>0</v>
      </c>
      <c r="K43" s="3"/>
      <c r="L43" s="17">
        <v>0.33333333333333331</v>
      </c>
      <c r="M43" s="17"/>
      <c r="N43" s="6"/>
      <c r="O43" s="3"/>
      <c r="P43" s="3"/>
      <c r="Q43" s="7">
        <v>0.33333333333333331</v>
      </c>
      <c r="S43" s="14">
        <v>0</v>
      </c>
      <c r="T43" s="17">
        <v>0</v>
      </c>
      <c r="U43" s="3"/>
      <c r="V43" s="4"/>
      <c r="W43" s="3"/>
      <c r="X43" s="17"/>
      <c r="Y43" s="17"/>
      <c r="Z43" s="6"/>
      <c r="AA43" s="3"/>
      <c r="AB43" s="3"/>
      <c r="AC43" s="7"/>
      <c r="AE43" s="14">
        <v>0</v>
      </c>
      <c r="AF43" s="17">
        <v>1</v>
      </c>
      <c r="AG43" s="3"/>
      <c r="AH43" s="4"/>
      <c r="AI43" s="3"/>
      <c r="AJ43" s="17"/>
      <c r="AK43" s="17"/>
      <c r="AL43" s="6"/>
      <c r="AM43" s="3"/>
      <c r="AN43" s="3"/>
      <c r="AO43" s="7"/>
    </row>
    <row r="44" spans="1:41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G44" s="14">
        <v>7</v>
      </c>
      <c r="H44" s="17">
        <v>2.90625</v>
      </c>
      <c r="I44" s="3">
        <v>1.4333848089524714</v>
      </c>
      <c r="J44" s="4">
        <f t="shared" si="0"/>
        <v>0.49320767619869987</v>
      </c>
      <c r="K44" s="3"/>
      <c r="L44" s="17">
        <v>4.6000000000000005</v>
      </c>
      <c r="M44" s="17"/>
      <c r="N44" s="6"/>
      <c r="O44" s="3"/>
      <c r="P44" s="3">
        <v>2.9</v>
      </c>
      <c r="Q44" s="7">
        <v>2.2062499999999998</v>
      </c>
      <c r="S44" s="14">
        <v>7</v>
      </c>
      <c r="T44" s="17">
        <v>7.95</v>
      </c>
      <c r="U44" s="3"/>
      <c r="V44" s="4"/>
      <c r="W44" s="3"/>
      <c r="X44" s="17"/>
      <c r="Y44" s="17"/>
      <c r="Z44" s="6"/>
      <c r="AA44" s="3"/>
      <c r="AB44" s="3"/>
      <c r="AC44" s="7"/>
      <c r="AE44" s="14">
        <v>6</v>
      </c>
      <c r="AF44" s="17">
        <v>9</v>
      </c>
      <c r="AG44" s="3"/>
      <c r="AH44" s="4"/>
      <c r="AI44" s="3"/>
      <c r="AJ44" s="17"/>
      <c r="AK44" s="17"/>
      <c r="AL44" s="6"/>
      <c r="AM44" s="3"/>
      <c r="AN44" s="3"/>
      <c r="AO44" s="7"/>
    </row>
    <row r="45" spans="1:41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G45" s="14">
        <v>11.1936</v>
      </c>
      <c r="H45" s="17">
        <v>7.97</v>
      </c>
      <c r="I45" s="3">
        <v>4.0882134700977213</v>
      </c>
      <c r="J45" s="4">
        <f t="shared" si="0"/>
        <v>0.51295024718917459</v>
      </c>
      <c r="K45" s="3"/>
      <c r="L45" s="17">
        <v>4</v>
      </c>
      <c r="M45" s="17"/>
      <c r="N45" s="6"/>
      <c r="O45" s="3"/>
      <c r="P45" s="3">
        <v>7.97</v>
      </c>
      <c r="Q45" s="7">
        <v>2.9047555555555555</v>
      </c>
      <c r="S45" s="14">
        <v>11.1936</v>
      </c>
      <c r="T45" s="17">
        <v>9.0863999999999994</v>
      </c>
      <c r="U45" s="3"/>
      <c r="V45" s="4"/>
      <c r="W45" s="3"/>
      <c r="X45" s="17"/>
      <c r="Y45" s="17"/>
      <c r="Z45" s="6"/>
      <c r="AA45" s="3"/>
      <c r="AB45" s="3"/>
      <c r="AC45" s="7"/>
      <c r="AE45" s="14">
        <v>11.1936</v>
      </c>
      <c r="AF45" s="17">
        <v>9.0863999999999994</v>
      </c>
      <c r="AG45" s="3"/>
      <c r="AH45" s="4"/>
      <c r="AI45" s="3"/>
      <c r="AJ45" s="17"/>
      <c r="AK45" s="17"/>
      <c r="AL45" s="6"/>
      <c r="AM45" s="3"/>
      <c r="AN45" s="3"/>
      <c r="AO45" s="7"/>
    </row>
    <row r="46" spans="1:41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G46" s="14">
        <v>6.3666666666666663</v>
      </c>
      <c r="H46" s="17">
        <v>10.65</v>
      </c>
      <c r="I46" s="3">
        <v>3.7363008021508812</v>
      </c>
      <c r="J46" s="4">
        <f t="shared" si="0"/>
        <v>0.35082636639914377</v>
      </c>
      <c r="K46" s="3"/>
      <c r="L46" s="17">
        <v>6.333333333333333</v>
      </c>
      <c r="M46" s="17"/>
      <c r="N46" s="6"/>
      <c r="O46" s="3"/>
      <c r="P46" s="3">
        <v>10.65</v>
      </c>
      <c r="Q46" s="7">
        <v>1.6966666666666668</v>
      </c>
      <c r="S46" s="14">
        <v>6.3666666666666663</v>
      </c>
      <c r="T46" s="17">
        <v>8.4</v>
      </c>
      <c r="U46" s="3"/>
      <c r="V46" s="4"/>
      <c r="W46" s="3"/>
      <c r="X46" s="17"/>
      <c r="Y46" s="17"/>
      <c r="Z46" s="6"/>
      <c r="AA46" s="3"/>
      <c r="AB46" s="3"/>
      <c r="AC46" s="7"/>
      <c r="AE46" s="14">
        <v>6.3666666666666663</v>
      </c>
      <c r="AF46" s="17">
        <v>6.4</v>
      </c>
      <c r="AG46" s="3"/>
      <c r="AH46" s="4"/>
      <c r="AI46" s="3"/>
      <c r="AJ46" s="17"/>
      <c r="AK46" s="17"/>
      <c r="AL46" s="6"/>
      <c r="AM46" s="3"/>
      <c r="AN46" s="3"/>
      <c r="AO46" s="7"/>
    </row>
    <row r="47" spans="1:41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G47" s="14">
        <v>4</v>
      </c>
      <c r="H47" s="17">
        <v>6.5951000000000004</v>
      </c>
      <c r="I47" s="3">
        <v>0.88921430612099994</v>
      </c>
      <c r="J47" s="4">
        <f t="shared" si="0"/>
        <v>0.13482954104122757</v>
      </c>
      <c r="K47" s="3"/>
      <c r="L47" s="17">
        <v>2.3333333333333335</v>
      </c>
      <c r="M47" s="17"/>
      <c r="N47" s="6"/>
      <c r="O47" s="3"/>
      <c r="P47" s="3"/>
      <c r="Q47" s="7">
        <v>1.7125166666666667</v>
      </c>
      <c r="S47" s="14">
        <v>4</v>
      </c>
      <c r="T47" s="17">
        <v>2.33</v>
      </c>
      <c r="U47" s="3"/>
      <c r="V47" s="4"/>
      <c r="W47" s="3"/>
      <c r="X47" s="17"/>
      <c r="Y47" s="17"/>
      <c r="Z47" s="6"/>
      <c r="AA47" s="3"/>
      <c r="AB47" s="3"/>
      <c r="AC47" s="7"/>
      <c r="AE47" s="14">
        <v>4</v>
      </c>
      <c r="AF47" s="17">
        <v>1.35</v>
      </c>
      <c r="AG47" s="3"/>
      <c r="AH47" s="4"/>
      <c r="AI47" s="3"/>
      <c r="AJ47" s="17"/>
      <c r="AK47" s="17"/>
      <c r="AL47" s="6"/>
      <c r="AM47" s="3"/>
      <c r="AN47" s="3"/>
      <c r="AO47" s="7"/>
    </row>
    <row r="48" spans="1:41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G48" s="14">
        <v>45.833333333333336</v>
      </c>
      <c r="H48" s="17">
        <v>65.400000000000006</v>
      </c>
      <c r="I48" s="3">
        <v>26.472517639262765</v>
      </c>
      <c r="J48" s="4">
        <f t="shared" si="0"/>
        <v>0.40477855717527161</v>
      </c>
      <c r="K48" s="3"/>
      <c r="L48" s="17">
        <v>24.666666666666668</v>
      </c>
      <c r="M48" s="17"/>
      <c r="N48" s="6"/>
      <c r="O48" s="3"/>
      <c r="P48" s="3">
        <v>50</v>
      </c>
      <c r="Q48" s="7">
        <v>2.7543859649122808</v>
      </c>
      <c r="S48" s="14">
        <v>45.833333333333336</v>
      </c>
      <c r="T48" s="17">
        <v>45.8</v>
      </c>
      <c r="U48" s="3"/>
      <c r="V48" s="4"/>
      <c r="W48" s="3"/>
      <c r="X48" s="17"/>
      <c r="Y48" s="17"/>
      <c r="Z48" s="6"/>
      <c r="AA48" s="3"/>
      <c r="AB48" s="3"/>
      <c r="AC48" s="7"/>
      <c r="AE48" s="14">
        <v>45.833333333333336</v>
      </c>
      <c r="AF48" s="17">
        <v>45.8</v>
      </c>
      <c r="AG48" s="3"/>
      <c r="AH48" s="4"/>
      <c r="AI48" s="3"/>
      <c r="AJ48" s="17"/>
      <c r="AK48" s="17"/>
      <c r="AL48" s="6"/>
      <c r="AM48" s="3"/>
      <c r="AN48" s="3"/>
      <c r="AO48" s="7"/>
    </row>
    <row r="49" spans="1:41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G49" s="14">
        <v>17.509999999999998</v>
      </c>
      <c r="H49" s="17">
        <v>17</v>
      </c>
      <c r="I49" s="3">
        <v>4.8099999999999996</v>
      </c>
      <c r="J49" s="4">
        <f t="shared" si="0"/>
        <v>0.2829411764705882</v>
      </c>
      <c r="K49" s="3"/>
      <c r="L49" s="17">
        <v>19</v>
      </c>
      <c r="M49" s="17"/>
      <c r="N49" s="6"/>
      <c r="O49" s="3"/>
      <c r="P49" s="3">
        <v>17</v>
      </c>
      <c r="Q49" s="7">
        <v>1.5</v>
      </c>
      <c r="S49" s="14">
        <v>30.29</v>
      </c>
      <c r="T49" s="17">
        <v>25</v>
      </c>
      <c r="U49" s="3"/>
      <c r="V49" s="4"/>
      <c r="W49" s="3"/>
      <c r="X49" s="17"/>
      <c r="Y49" s="17"/>
      <c r="Z49" s="6"/>
      <c r="AA49" s="3"/>
      <c r="AB49" s="3"/>
      <c r="AC49" s="7"/>
      <c r="AE49" s="14">
        <v>33.83</v>
      </c>
      <c r="AF49" s="17">
        <v>30</v>
      </c>
      <c r="AG49" s="3"/>
      <c r="AH49" s="4"/>
      <c r="AI49" s="3"/>
      <c r="AJ49" s="17"/>
      <c r="AK49" s="17"/>
      <c r="AL49" s="6"/>
      <c r="AM49" s="3"/>
      <c r="AN49" s="3"/>
      <c r="AO49" s="7"/>
    </row>
    <row r="50" spans="1:41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G50" s="14">
        <v>7.25</v>
      </c>
      <c r="H50" s="17">
        <v>7.9112900000000002</v>
      </c>
      <c r="I50" s="3">
        <v>5.8537633333333341</v>
      </c>
      <c r="J50" s="4">
        <f t="shared" si="0"/>
        <v>0.73992526292593674</v>
      </c>
      <c r="K50" s="3"/>
      <c r="L50" s="17">
        <v>1.3333333333333333</v>
      </c>
      <c r="M50" s="17"/>
      <c r="N50" s="6"/>
      <c r="O50" s="3"/>
      <c r="P50" s="3"/>
      <c r="Q50" s="7">
        <v>7.2004300000000008</v>
      </c>
      <c r="S50" s="14">
        <v>7.25</v>
      </c>
      <c r="T50" s="17">
        <v>10.32</v>
      </c>
      <c r="U50" s="3"/>
      <c r="V50" s="4"/>
      <c r="W50" s="3"/>
      <c r="X50" s="17"/>
      <c r="Y50" s="17"/>
      <c r="Z50" s="6"/>
      <c r="AA50" s="3"/>
      <c r="AB50" s="3"/>
      <c r="AC50" s="7"/>
      <c r="AE50" s="14">
        <v>7.25</v>
      </c>
      <c r="AF50" s="17">
        <v>3.37</v>
      </c>
      <c r="AG50" s="3"/>
      <c r="AH50" s="4"/>
      <c r="AI50" s="3"/>
      <c r="AJ50" s="17"/>
      <c r="AK50" s="17"/>
      <c r="AL50" s="6"/>
      <c r="AM50" s="3"/>
      <c r="AN50" s="3"/>
      <c r="AO50" s="7"/>
    </row>
    <row r="51" spans="1:41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G51" s="14">
        <v>19</v>
      </c>
      <c r="H51" s="17">
        <v>0</v>
      </c>
      <c r="I51" s="3">
        <v>-6.3453123695111699</v>
      </c>
      <c r="J51" s="4">
        <f t="shared" si="0"/>
        <v>0</v>
      </c>
      <c r="K51" s="3"/>
      <c r="L51" s="17">
        <v>6</v>
      </c>
      <c r="M51" s="17"/>
      <c r="N51" s="6"/>
      <c r="O51" s="3"/>
      <c r="P51" s="3"/>
      <c r="Q51" s="7">
        <v>0</v>
      </c>
      <c r="S51" s="14">
        <v>19</v>
      </c>
      <c r="T51" s="17">
        <v>0</v>
      </c>
      <c r="U51" s="3"/>
      <c r="V51" s="4"/>
      <c r="W51" s="3"/>
      <c r="X51" s="17"/>
      <c r="Y51" s="17"/>
      <c r="Z51" s="6"/>
      <c r="AA51" s="3"/>
      <c r="AB51" s="3"/>
      <c r="AC51" s="7"/>
      <c r="AE51" s="14">
        <v>19</v>
      </c>
      <c r="AF51" s="17">
        <v>0</v>
      </c>
      <c r="AG51" s="3"/>
      <c r="AH51" s="4"/>
      <c r="AI51" s="3"/>
      <c r="AJ51" s="17"/>
      <c r="AK51" s="17"/>
      <c r="AL51" s="6"/>
      <c r="AM51" s="3"/>
      <c r="AN51" s="3"/>
      <c r="AO51" s="7"/>
    </row>
    <row r="52" spans="1:41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G52" s="14">
        <v>1</v>
      </c>
      <c r="H52" s="17">
        <v>1</v>
      </c>
      <c r="I52" s="3">
        <v>-0.7882832298375444</v>
      </c>
      <c r="J52" s="4">
        <f t="shared" si="0"/>
        <v>-0.7882832298375444</v>
      </c>
      <c r="K52" s="3"/>
      <c r="L52" s="17">
        <v>2</v>
      </c>
      <c r="M52" s="17"/>
      <c r="N52" s="6"/>
      <c r="O52" s="3"/>
      <c r="P52" s="3"/>
      <c r="Q52" s="7">
        <v>2</v>
      </c>
      <c r="S52" s="14">
        <v>2</v>
      </c>
      <c r="T52" s="17">
        <v>0</v>
      </c>
      <c r="U52" s="3"/>
      <c r="V52" s="4"/>
      <c r="W52" s="3"/>
      <c r="X52" s="17"/>
      <c r="Y52" s="17"/>
      <c r="Z52" s="6"/>
      <c r="AA52" s="3"/>
      <c r="AB52" s="3"/>
      <c r="AC52" s="7"/>
      <c r="AE52" s="14">
        <v>5</v>
      </c>
      <c r="AF52" s="17">
        <v>5</v>
      </c>
      <c r="AG52" s="3"/>
      <c r="AH52" s="4"/>
      <c r="AI52" s="3"/>
      <c r="AJ52" s="17"/>
      <c r="AK52" s="17"/>
      <c r="AL52" s="6"/>
      <c r="AM52" s="3"/>
      <c r="AN52" s="3"/>
      <c r="AO52" s="7"/>
    </row>
    <row r="53" spans="1:41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G53" s="14">
        <v>0</v>
      </c>
      <c r="H53" s="17">
        <v>0</v>
      </c>
      <c r="I53" s="3">
        <v>0</v>
      </c>
      <c r="J53" s="4">
        <f t="shared" si="0"/>
        <v>0</v>
      </c>
      <c r="K53" s="3"/>
      <c r="L53" s="17">
        <v>0</v>
      </c>
      <c r="M53" s="17"/>
      <c r="N53" s="6"/>
      <c r="O53" s="3"/>
      <c r="P53" s="3"/>
      <c r="Q53" s="7">
        <v>0</v>
      </c>
      <c r="S53" s="14">
        <v>0</v>
      </c>
      <c r="T53" s="17">
        <v>0</v>
      </c>
      <c r="U53" s="3"/>
      <c r="V53" s="4"/>
      <c r="W53" s="3"/>
      <c r="X53" s="17"/>
      <c r="Y53" s="17"/>
      <c r="Z53" s="6"/>
      <c r="AA53" s="3"/>
      <c r="AB53" s="3"/>
      <c r="AC53" s="7"/>
      <c r="AE53" s="14">
        <v>1</v>
      </c>
      <c r="AF53" s="17">
        <v>0</v>
      </c>
      <c r="AG53" s="3"/>
      <c r="AH53" s="4"/>
      <c r="AI53" s="3"/>
      <c r="AJ53" s="17"/>
      <c r="AK53" s="17"/>
      <c r="AL53" s="6"/>
      <c r="AM53" s="3"/>
      <c r="AN53" s="3"/>
      <c r="AO53" s="7"/>
    </row>
    <row r="54" spans="1:41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G54" s="14">
        <v>0</v>
      </c>
      <c r="H54" s="17">
        <v>0</v>
      </c>
      <c r="I54" s="3">
        <v>0</v>
      </c>
      <c r="J54" s="4">
        <f t="shared" si="0"/>
        <v>0</v>
      </c>
      <c r="K54" s="3"/>
      <c r="L54" s="17">
        <v>0</v>
      </c>
      <c r="M54" s="17"/>
      <c r="N54" s="6"/>
      <c r="O54" s="3"/>
      <c r="P54" s="3"/>
      <c r="Q54" s="7">
        <v>0</v>
      </c>
      <c r="S54" s="14">
        <v>0</v>
      </c>
      <c r="T54" s="17">
        <v>0</v>
      </c>
      <c r="U54" s="3"/>
      <c r="V54" s="4"/>
      <c r="W54" s="3"/>
      <c r="X54" s="17"/>
      <c r="Y54" s="17"/>
      <c r="Z54" s="6"/>
      <c r="AA54" s="3"/>
      <c r="AB54" s="3"/>
      <c r="AC54" s="7"/>
      <c r="AE54" s="14">
        <v>0</v>
      </c>
      <c r="AF54" s="17">
        <v>0</v>
      </c>
      <c r="AG54" s="3"/>
      <c r="AH54" s="4"/>
      <c r="AI54" s="3"/>
      <c r="AJ54" s="17"/>
      <c r="AK54" s="17"/>
      <c r="AL54" s="6"/>
      <c r="AM54" s="3"/>
      <c r="AN54" s="3"/>
      <c r="AO54" s="7"/>
    </row>
    <row r="55" spans="1:41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G55" s="14">
        <v>9.6731800000000003</v>
      </c>
      <c r="H55" s="17">
        <v>9</v>
      </c>
      <c r="I55" s="3">
        <v>-6.5757544546004523</v>
      </c>
      <c r="J55" s="4">
        <f t="shared" si="0"/>
        <v>-0.73063938384449467</v>
      </c>
      <c r="K55" s="3"/>
      <c r="L55" s="17">
        <v>21.333333333333332</v>
      </c>
      <c r="M55" s="17"/>
      <c r="N55" s="6"/>
      <c r="O55" s="3"/>
      <c r="P55" s="3"/>
      <c r="Q55" s="7">
        <v>0.21039603960396042</v>
      </c>
      <c r="S55" s="14">
        <v>11.291679999999999</v>
      </c>
      <c r="T55" s="17">
        <v>2.25</v>
      </c>
      <c r="U55" s="3"/>
      <c r="V55" s="4"/>
      <c r="W55" s="3"/>
      <c r="X55" s="17"/>
      <c r="Y55" s="17"/>
      <c r="Z55" s="6"/>
      <c r="AA55" s="3"/>
      <c r="AB55" s="3"/>
      <c r="AC55" s="7"/>
      <c r="AE55" s="14">
        <v>39.549320000000002</v>
      </c>
      <c r="AF55" s="17">
        <v>1.5</v>
      </c>
      <c r="AG55" s="3"/>
      <c r="AH55" s="4"/>
      <c r="AI55" s="3"/>
      <c r="AJ55" s="17"/>
      <c r="AK55" s="17"/>
      <c r="AL55" s="6"/>
      <c r="AM55" s="3"/>
      <c r="AN55" s="3"/>
      <c r="AO55" s="7"/>
    </row>
    <row r="56" spans="1:41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G56" s="14">
        <v>6.3891</v>
      </c>
      <c r="H56" s="17">
        <v>2.9410600000000002</v>
      </c>
      <c r="I56" s="3">
        <v>0.44902000000000014</v>
      </c>
      <c r="J56" s="4">
        <f t="shared" si="0"/>
        <v>0.15267284584469548</v>
      </c>
      <c r="K56" s="3"/>
      <c r="L56" s="17">
        <v>0.79999999999999993</v>
      </c>
      <c r="M56" s="17"/>
      <c r="N56" s="6"/>
      <c r="O56" s="3"/>
      <c r="P56" s="3"/>
      <c r="Q56" s="7">
        <v>0</v>
      </c>
      <c r="S56" s="14">
        <v>23.275400000000001</v>
      </c>
      <c r="T56" s="17">
        <v>0.83</v>
      </c>
      <c r="U56" s="3"/>
      <c r="V56" s="4"/>
      <c r="W56" s="3"/>
      <c r="X56" s="17"/>
      <c r="Y56" s="17"/>
      <c r="Z56" s="6"/>
      <c r="AA56" s="3"/>
      <c r="AB56" s="3"/>
      <c r="AC56" s="7"/>
      <c r="AE56" s="14">
        <v>7</v>
      </c>
      <c r="AF56" s="17">
        <v>0</v>
      </c>
      <c r="AG56" s="3"/>
      <c r="AH56" s="4"/>
      <c r="AI56" s="3"/>
      <c r="AJ56" s="17"/>
      <c r="AK56" s="17"/>
      <c r="AL56" s="6"/>
      <c r="AM56" s="3"/>
      <c r="AN56" s="3"/>
      <c r="AO56" s="7"/>
    </row>
    <row r="57" spans="1:41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G57" s="14">
        <v>4.165</v>
      </c>
      <c r="H57" s="17">
        <v>0</v>
      </c>
      <c r="I57" s="3">
        <v>-1.4939221985593101</v>
      </c>
      <c r="J57" s="4">
        <f t="shared" si="0"/>
        <v>0</v>
      </c>
      <c r="K57" s="3"/>
      <c r="L57" s="17">
        <v>0.33333333333333331</v>
      </c>
      <c r="M57" s="17"/>
      <c r="N57" s="6"/>
      <c r="O57" s="3"/>
      <c r="P57" s="3"/>
      <c r="Q57" s="7">
        <v>0</v>
      </c>
      <c r="S57" s="14">
        <v>5.2478999999999996</v>
      </c>
      <c r="T57" s="17">
        <v>0</v>
      </c>
      <c r="U57" s="3"/>
      <c r="V57" s="4"/>
      <c r="W57" s="3"/>
      <c r="X57" s="17"/>
      <c r="Y57" s="17"/>
      <c r="Z57" s="6"/>
      <c r="AA57" s="3"/>
      <c r="AB57" s="3"/>
      <c r="AC57" s="7"/>
      <c r="AE57" s="14">
        <v>8</v>
      </c>
      <c r="AF57" s="17">
        <v>0</v>
      </c>
      <c r="AG57" s="3"/>
      <c r="AH57" s="4"/>
      <c r="AI57" s="3"/>
      <c r="AJ57" s="17"/>
      <c r="AK57" s="17"/>
      <c r="AL57" s="6"/>
      <c r="AM57" s="3"/>
      <c r="AN57" s="3"/>
      <c r="AO57" s="7"/>
    </row>
    <row r="58" spans="1:41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14">
        <v>0</v>
      </c>
      <c r="H58" s="17">
        <v>0</v>
      </c>
      <c r="I58" s="3">
        <v>0.28333333333333338</v>
      </c>
      <c r="J58" s="4">
        <f t="shared" si="0"/>
        <v>0</v>
      </c>
      <c r="K58" s="3"/>
      <c r="L58" s="17">
        <v>1.1666666666666667</v>
      </c>
      <c r="M58" s="17"/>
      <c r="N58" s="6"/>
      <c r="O58" s="3"/>
      <c r="P58" s="3"/>
      <c r="Q58" s="7">
        <v>0.38095238095238093</v>
      </c>
      <c r="S58" s="14">
        <v>0</v>
      </c>
      <c r="T58" s="17">
        <v>2</v>
      </c>
      <c r="U58" s="3"/>
      <c r="V58" s="4"/>
      <c r="W58" s="3"/>
      <c r="X58" s="17"/>
      <c r="Y58" s="17"/>
      <c r="Z58" s="6"/>
      <c r="AA58" s="3"/>
      <c r="AB58" s="3"/>
      <c r="AC58" s="7"/>
      <c r="AE58" s="14">
        <v>0</v>
      </c>
      <c r="AF58" s="17">
        <v>2</v>
      </c>
      <c r="AG58" s="3"/>
      <c r="AH58" s="4"/>
      <c r="AI58" s="3"/>
      <c r="AJ58" s="17"/>
      <c r="AK58" s="17"/>
      <c r="AL58" s="6"/>
      <c r="AM58" s="3"/>
      <c r="AN58" s="3"/>
      <c r="AO58" s="7"/>
    </row>
    <row r="59" spans="1:41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14">
        <v>0</v>
      </c>
      <c r="H59" s="17">
        <v>1.75</v>
      </c>
      <c r="I59" s="3">
        <v>1.24</v>
      </c>
      <c r="J59" s="4">
        <f t="shared" si="0"/>
        <v>0.70857142857142852</v>
      </c>
      <c r="K59" s="3"/>
      <c r="L59" s="17">
        <v>0.56666666666666665</v>
      </c>
      <c r="M59" s="17"/>
      <c r="N59" s="6"/>
      <c r="O59" s="3"/>
      <c r="P59" s="3">
        <v>1.75</v>
      </c>
      <c r="Q59" s="7">
        <v>1.2500000000000002</v>
      </c>
      <c r="S59" s="14">
        <v>0</v>
      </c>
      <c r="T59" s="17">
        <v>1.75</v>
      </c>
      <c r="U59" s="3"/>
      <c r="V59" s="4"/>
      <c r="W59" s="3"/>
      <c r="X59" s="17"/>
      <c r="Y59" s="17"/>
      <c r="Z59" s="6"/>
      <c r="AA59" s="3"/>
      <c r="AB59" s="3"/>
      <c r="AC59" s="7"/>
      <c r="AE59" s="14">
        <v>0</v>
      </c>
      <c r="AF59" s="17">
        <v>1.75</v>
      </c>
      <c r="AG59" s="3"/>
      <c r="AH59" s="4"/>
      <c r="AI59" s="3"/>
      <c r="AJ59" s="17"/>
      <c r="AK59" s="17"/>
      <c r="AL59" s="6"/>
      <c r="AM59" s="3"/>
      <c r="AN59" s="3"/>
      <c r="AO59" s="7"/>
    </row>
    <row r="60" spans="1:41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14">
        <f>217/3</f>
        <v>72.333333333333329</v>
      </c>
      <c r="H60" s="17">
        <v>0</v>
      </c>
      <c r="I60" s="3">
        <v>0</v>
      </c>
      <c r="J60" s="4">
        <f t="shared" si="0"/>
        <v>0</v>
      </c>
      <c r="K60" s="16"/>
      <c r="L60" s="23">
        <v>0</v>
      </c>
      <c r="M60" s="17"/>
      <c r="S60" s="14">
        <v>72.333333333333329</v>
      </c>
      <c r="T60" s="17">
        <v>0</v>
      </c>
      <c r="U60" s="3"/>
      <c r="V60" s="4"/>
      <c r="W60" s="16"/>
      <c r="X60" s="23"/>
      <c r="Y60" s="17"/>
      <c r="AE60" s="14">
        <v>72.3</v>
      </c>
      <c r="AF60" s="17">
        <v>0</v>
      </c>
      <c r="AG60" s="3"/>
      <c r="AH60" s="4"/>
      <c r="AI60" s="16"/>
      <c r="AJ60" s="23"/>
      <c r="AK60" s="17"/>
    </row>
    <row r="61" spans="1:41" x14ac:dyDescent="0.35">
      <c r="A61" s="16" t="s">
        <v>121</v>
      </c>
      <c r="B61" s="16" t="s">
        <v>122</v>
      </c>
      <c r="C61" s="16" t="s">
        <v>122</v>
      </c>
      <c r="D61" s="24" t="s">
        <v>118</v>
      </c>
      <c r="E61" s="16" t="s">
        <v>122</v>
      </c>
      <c r="G61" s="14">
        <v>0</v>
      </c>
      <c r="H61" s="17">
        <v>0</v>
      </c>
      <c r="I61" s="3">
        <v>0</v>
      </c>
      <c r="J61" s="4">
        <f t="shared" si="0"/>
        <v>0</v>
      </c>
      <c r="L61" s="23">
        <v>5.2</v>
      </c>
      <c r="S61" s="14">
        <v>0</v>
      </c>
      <c r="T61" s="17">
        <v>12.5</v>
      </c>
      <c r="U61" s="3"/>
      <c r="V61" s="4"/>
      <c r="X61" s="23"/>
      <c r="AE61" s="14">
        <v>0</v>
      </c>
      <c r="AF61" s="17">
        <v>12.5</v>
      </c>
      <c r="AG61" s="3"/>
      <c r="AH61" s="4"/>
      <c r="AJ61" s="23"/>
    </row>
  </sheetData>
  <mergeCells count="3">
    <mergeCell ref="G1:Q1"/>
    <mergeCell ref="S1:AC1"/>
    <mergeCell ref="AE1:A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Actual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2026-05-25T05:59:08Z</dcterms:modified>
</cp:coreProperties>
</file>