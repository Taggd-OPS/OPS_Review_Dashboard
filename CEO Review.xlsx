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1591" documentId="8_{231760F8-40C3-4E52-9138-CD9DD8E2170C}" xr6:coauthVersionLast="47" xr6:coauthVersionMax="47" xr10:uidLastSave="{7A2B0699-1645-445A-BFCA-7793F019BAFC}"/>
  <bookViews>
    <workbookView xWindow="-110" yWindow="-110" windowWidth="19420" windowHeight="11500" xr2:uid="{F2C8E0B5-D69E-42FC-A0A4-20379F29D696}"/>
  </bookViews>
  <sheets>
    <sheet name="Sheet1" sheetId="1" r:id="rId1"/>
    <sheet name="Actual" sheetId="2" r:id="rId2"/>
  </sheets>
  <definedNames>
    <definedName name="_xlnm._FilterDatabase" localSheetId="1" hidden="1">Actual!$A$2:$O$61</definedName>
    <definedName name="_xlnm._FilterDatabase" localSheetId="0" hidden="1">Sheet1!$A$2:$BZ$61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3" i="2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J61" i="1"/>
  <c r="AY60" i="1"/>
  <c r="J60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3" i="1"/>
  <c r="AZ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3" i="1"/>
  <c r="AS4" i="1"/>
  <c r="BD4" i="1" s="1"/>
  <c r="AS5" i="1"/>
  <c r="AS6" i="1"/>
  <c r="AS7" i="1"/>
  <c r="BD7" i="1" s="1"/>
  <c r="AS8" i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AS20" i="1"/>
  <c r="AS21" i="1"/>
  <c r="BD21" i="1" s="1"/>
  <c r="AS22" i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AS31" i="1"/>
  <c r="BD31" i="1" s="1"/>
  <c r="AS32" i="1"/>
  <c r="BD32" i="1" s="1"/>
  <c r="AS33" i="1"/>
  <c r="AS34" i="1"/>
  <c r="BD34" i="1" s="1"/>
  <c r="AS35" i="1"/>
  <c r="BD35" i="1" s="1"/>
  <c r="AS36" i="1"/>
  <c r="AS37" i="1"/>
  <c r="BD37" i="1" s="1"/>
  <c r="AS38" i="1"/>
  <c r="BD38" i="1" s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AS48" i="1"/>
  <c r="BD48" i="1" s="1"/>
  <c r="AS49" i="1"/>
  <c r="BD49" i="1" s="1"/>
  <c r="AS50" i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3" i="1"/>
  <c r="BC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C5" i="1"/>
  <c r="BC6" i="1"/>
  <c r="BC7" i="1"/>
  <c r="BC8" i="1"/>
  <c r="BC9" i="1"/>
  <c r="BC19" i="1"/>
  <c r="BC23" i="1"/>
  <c r="BC33" i="1"/>
  <c r="BB4" i="1" l="1"/>
  <c r="BB19" i="1"/>
  <c r="BB32" i="1"/>
  <c r="BB47" i="1"/>
  <c r="BB5" i="1"/>
  <c r="BB46" i="1"/>
  <c r="BB15" i="1"/>
  <c r="BB52" i="1"/>
  <c r="BB18" i="1"/>
  <c r="BB13" i="1"/>
  <c r="BB37" i="1"/>
  <c r="BD50" i="1"/>
  <c r="BD8" i="1"/>
  <c r="BD20" i="1"/>
  <c r="BD6" i="1"/>
  <c r="BD47" i="1"/>
  <c r="BD33" i="1"/>
  <c r="BD19" i="1"/>
  <c r="BD5" i="1"/>
  <c r="BD22" i="1"/>
  <c r="BD36" i="1"/>
  <c r="BD30" i="1"/>
  <c r="BB12" i="1"/>
  <c r="BB14" i="1"/>
  <c r="BB9" i="1"/>
  <c r="BB8" i="1"/>
  <c r="BB21" i="1"/>
  <c r="BB16" i="1"/>
  <c r="BB11" i="1"/>
  <c r="BB10" i="1"/>
  <c r="BB7" i="1"/>
  <c r="BB20" i="1"/>
  <c r="BB17" i="1"/>
  <c r="BB6" i="1"/>
  <c r="BB3" i="1"/>
  <c r="BB22" i="1"/>
  <c r="BB43" i="1"/>
  <c r="BB29" i="1"/>
  <c r="BB56" i="1"/>
  <c r="BB42" i="1"/>
  <c r="BB28" i="1"/>
  <c r="BB55" i="1"/>
  <c r="BB41" i="1"/>
  <c r="BB27" i="1"/>
  <c r="BB57" i="1"/>
  <c r="BB39" i="1"/>
  <c r="BB38" i="1"/>
  <c r="BB51" i="1"/>
  <c r="BB23" i="1"/>
  <c r="BB36" i="1"/>
  <c r="BB34" i="1"/>
  <c r="BB33" i="1"/>
  <c r="BB59" i="1"/>
  <c r="BB45" i="1"/>
  <c r="BB31" i="1"/>
  <c r="BB54" i="1"/>
  <c r="BB40" i="1"/>
  <c r="BB26" i="1"/>
  <c r="BB53" i="1"/>
  <c r="BB25" i="1"/>
  <c r="BB24" i="1"/>
  <c r="BB50" i="1"/>
  <c r="BB49" i="1"/>
  <c r="BB35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N14" i="1"/>
  <c r="BR17" i="1"/>
  <c r="BR24" i="1"/>
  <c r="BR29" i="1"/>
  <c r="BR20" i="1"/>
  <c r="BR56" i="1"/>
  <c r="BN16" i="1"/>
  <c r="BN11" i="1"/>
  <c r="BN36" i="1"/>
  <c r="BN21" i="1"/>
  <c r="BR44" i="1"/>
  <c r="BP59" i="1" l="1"/>
  <c r="BP49" i="1"/>
  <c r="BP48" i="1"/>
  <c r="BP46" i="1"/>
  <c r="BP42" i="1"/>
  <c r="BP32" i="1"/>
  <c r="BP26" i="1"/>
  <c r="BP23" i="1"/>
  <c r="BP21" i="1"/>
  <c r="BP20" i="1"/>
  <c r="BP19" i="1"/>
  <c r="BP14" i="1"/>
  <c r="BP13" i="1"/>
  <c r="BP11" i="1"/>
  <c r="BP9" i="1"/>
  <c r="BP3" i="1"/>
  <c r="BP4" i="1"/>
  <c r="BP36" i="1"/>
  <c r="BP31" i="1"/>
  <c r="BP29" i="1"/>
  <c r="BP8" i="1"/>
  <c r="BP7" i="1"/>
  <c r="BP6" i="1"/>
  <c r="BN48" i="1"/>
  <c r="BN23" i="1"/>
  <c r="BN44" i="1"/>
  <c r="BN42" i="1"/>
  <c r="BN32" i="1"/>
  <c r="BN45" i="1"/>
  <c r="BN6" i="1"/>
  <c r="BN7" i="1"/>
</calcChain>
</file>

<file path=xl/sharedStrings.xml><?xml version="1.0" encoding="utf-8"?>
<sst xmlns="http://schemas.openxmlformats.org/spreadsheetml/2006/main" count="1057" uniqueCount="125">
  <si>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</si>
  <si>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</si>
  <si>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</si>
  <si>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</si>
  <si>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</si>
  <si>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</si>
  <si>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</si>
  <si>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</si>
  <si>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</si>
  <si>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</si>
  <si>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</si>
  <si>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</si>
  <si>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</si>
  <si>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</si>
  <si>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</si>
  <si>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</si>
  <si>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</si>
  <si>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</si>
  <si>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</si>
  <si>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</si>
  <si>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</si>
  <si>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</si>
  <si>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</si>
  <si>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</si>
  <si>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</si>
  <si>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</si>
  <si>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</si>
  <si>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</si>
  <si>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</si>
  <si>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</si>
  <si>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</si>
  <si>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</si>
  <si>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</si>
  <si>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</si>
  <si>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</si>
  <si>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</si>
  <si>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</si>
  <si>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</si>
  <si>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</si>
  <si>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</si>
  <si>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</si>
  <si>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</si>
  <si>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</si>
  <si>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</si>
  <si>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</si>
  <si>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</si>
  <si>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</si>
  <si>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</si>
  <si>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</si>
  <si>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</si>
  <si>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</si>
  <si>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</si>
  <si>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</si>
  <si>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</si>
  <si>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</si>
  <si>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</si>
  <si>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</si>
  <si>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</si>
  <si>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</si>
  <si>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</si>
  <si>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</si>
  <si>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</si>
  <si>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</si>
  <si>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</si>
  <si>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</si>
  <si>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</si>
  <si>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</si>
  <si>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</si>
  <si>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</si>
  <si>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</si>
  <si>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</si>
  <si>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</si>
  <si>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</si>
  <si>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</si>
  <si>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</si>
  <si>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</si>
  <si>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</si>
  <si>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</si>
  <si>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</si>
  <si>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</si>
  <si>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</si>
  <si>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</si>
  <si>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</si>
  <si>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</si>
  <si>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</si>
  <si>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</si>
  <si>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</si>
  <si>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</si>
  <si>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</si>
  <si>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</si>
  <si>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</si>
  <si>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</si>
  <si>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</si>
  <si>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</si>
  <si>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</si>
  <si>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</si>
  <si>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</si>
  <si>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</si>
  <si>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</si>
  <si>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</si>
  <si>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</si>
  <si>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</si>
  <si>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</si>
  <si>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</si>
  <si>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</si>
  <si>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</si>
  <si>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</si>
  <si>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</si>
  <si>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</si>
  <si>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</si>
  <si>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</si>
  <si>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</si>
  <si>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</si>
  <si>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</si>
  <si>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</si>
  <si>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</si>
  <si>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</si>
  <si>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</si>
  <si>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</si>
  <si>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</si>
  <si>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</si>
  <si>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</si>
  <si>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</si>
  <si>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</si>
  <si>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Rev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</si>
</sst>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0"/>
    <numFmt numFmtId="166" formatCode="0.0%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1"/>
  <sheetViews>
    <sheetView tabSelected="1" workbookViewId="0">
      <pane xSplit="1" ySplit="2" topLeftCell="D42" activePane="bottomRight" state="frozen"/>
      <selection pane="topRight" activeCell="B1" sqref="B1"/>
      <selection pane="bottomLeft" activeCell="A3" sqref="A3"/>
      <selection pane="bottomRight" activeCell="H3" sqref="H3:H61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8" t="s">
        <v>24</v>
      </c>
      <c r="H1" s="28"/>
      <c r="I1" s="28"/>
      <c r="J1" s="28"/>
      <c r="K1" s="28"/>
      <c r="L1" s="28"/>
      <c r="M1" s="28"/>
      <c r="N1" s="28"/>
      <c r="O1" s="28"/>
      <c r="P1" s="28"/>
      <c r="R1" s="28" t="s">
        <v>29</v>
      </c>
      <c r="S1" s="28"/>
      <c r="T1" s="28"/>
      <c r="U1" s="28"/>
      <c r="V1" s="28"/>
      <c r="W1" s="28"/>
      <c r="X1" s="28"/>
      <c r="Y1" s="28"/>
      <c r="Z1" s="28"/>
      <c r="AA1" s="28"/>
      <c r="AC1" s="28" t="s">
        <v>31</v>
      </c>
      <c r="AD1" s="28"/>
      <c r="AE1" s="28"/>
      <c r="AF1" s="28"/>
      <c r="AG1" s="28"/>
      <c r="AH1" s="28"/>
      <c r="AI1" s="28"/>
      <c r="AJ1" s="28"/>
      <c r="AK1" s="28"/>
      <c r="AL1" s="28"/>
      <c r="AN1" s="28" t="s">
        <v>32</v>
      </c>
      <c r="AO1" s="28"/>
      <c r="AP1" s="28"/>
      <c r="AQ1" s="28"/>
      <c r="AR1" s="28"/>
      <c r="AS1" s="28"/>
      <c r="AT1" s="28"/>
      <c r="AU1" s="28"/>
      <c r="AV1" s="28"/>
      <c r="AW1" s="28"/>
      <c r="AY1" s="29" t="s">
        <v>33</v>
      </c>
      <c r="AZ1" s="29"/>
      <c r="BA1" s="29"/>
      <c r="BB1" s="29"/>
      <c r="BC1" s="29"/>
      <c r="BD1" s="29"/>
      <c r="BE1" s="29"/>
      <c r="BF1" s="29"/>
      <c r="BG1" s="29"/>
      <c r="BH1" s="29"/>
      <c r="BJ1" s="28" t="s">
        <v>76</v>
      </c>
      <c r="BK1" s="28"/>
      <c r="BL1" s="28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57.333333333333336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57.333333333333336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57.333333333333336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57.333333333333336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7">
        <f t="shared" ref="BD3:BD34" si="1">AVERAGE(L3,W3,AH3,AS3)</f>
        <v>57.333333333333336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f>12000000/100000</f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0" si="2">IFERROR(I4/H4,0)</f>
        <v>-5.3475158859134571E-2</v>
      </c>
      <c r="K4" s="3">
        <v>173405.52273207638</v>
      </c>
      <c r="L4" s="17">
        <v>2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59" si="3">IFERROR(T4/S4,0)</f>
        <v>-1.2889529000634083</v>
      </c>
      <c r="V4" s="3">
        <v>190746.07500528404</v>
      </c>
      <c r="W4" s="17">
        <v>2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2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2</v>
      </c>
      <c r="AT4" s="17"/>
      <c r="AU4" s="17"/>
      <c r="AV4" s="3"/>
      <c r="AW4" s="7">
        <v>0</v>
      </c>
      <c r="AY4" s="17">
        <f t="shared" ref="AY4:AY60" si="5">R4+AC4+AN4+G4</f>
        <v>20</v>
      </c>
      <c r="AZ4" s="17">
        <f t="shared" ref="AZ4:AZ61" si="6">S4+AD4+AO4+H4</f>
        <v>24.876199999999997</v>
      </c>
      <c r="BA4" s="17">
        <f t="shared" ref="BA4:BA59" si="7">T4+AE4+AP4+I4</f>
        <v>-19.862424864875713</v>
      </c>
      <c r="BB4" s="4">
        <f t="shared" ref="BB4:BB59" si="8">IFERROR(BA4/AZ4,0)</f>
        <v>-0.79845092356853997</v>
      </c>
      <c r="BC4" s="3">
        <f t="shared" si="0"/>
        <v>186410.93693698212</v>
      </c>
      <c r="BD4" s="7">
        <f t="shared" si="1"/>
        <v>2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f>225620/100000</f>
        <v>2.2562000000000002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F5" s="5"/>
      <c r="G5" s="14">
        <v>24</v>
      </c>
      <c r="H5" s="17">
        <v>22.799676599999998</v>
      </c>
      <c r="I5" s="3">
        <v>10.683573396464103</v>
      </c>
      <c r="J5" s="4">
        <f t="shared" si="2"/>
        <v>0.46858442704683384</v>
      </c>
      <c r="K5" s="3">
        <v>100967.52669613245</v>
      </c>
      <c r="L5" s="17">
        <v>4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4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4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4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78.799676599999998</v>
      </c>
      <c r="BA5" s="17">
        <f t="shared" si="7"/>
        <v>26.700432824795655</v>
      </c>
      <c r="BB5" s="4">
        <f t="shared" si="8"/>
        <v>0.33883937062751418</v>
      </c>
      <c r="BC5" s="3">
        <f t="shared" si="0"/>
        <v>108540.0911983424</v>
      </c>
      <c r="BD5" s="7">
        <f t="shared" si="1"/>
        <v>4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P5">
        <v>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F6" s="5"/>
      <c r="G6" s="14">
        <v>56</v>
      </c>
      <c r="H6" s="17">
        <v>41.46</v>
      </c>
      <c r="I6" s="3">
        <v>-10.512857798969705</v>
      </c>
      <c r="J6" s="4">
        <f t="shared" si="2"/>
        <v>-0.25356627590375552</v>
      </c>
      <c r="K6" s="3">
        <v>110580.54850844618</v>
      </c>
      <c r="L6" s="17">
        <v>15.666666666666666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15.666666666666666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15.666666666666666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15.666666666666666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207.46</v>
      </c>
      <c r="BA6" s="17">
        <f t="shared" si="7"/>
        <v>-16.023288535569762</v>
      </c>
      <c r="BB6" s="4">
        <f t="shared" si="8"/>
        <v>-7.7235556423261159E-2</v>
      </c>
      <c r="BC6" s="3">
        <f t="shared" si="0"/>
        <v>118874.08964657965</v>
      </c>
      <c r="BD6" s="7">
        <f t="shared" si="1"/>
        <v>15.666666666666666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f>5066901/100000</f>
        <v>50.66901</v>
      </c>
      <c r="BP6">
        <f>2650000/100000</f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6</v>
      </c>
      <c r="M7" s="17"/>
      <c r="N7" s="6"/>
      <c r="O7" s="3"/>
      <c r="P7" s="7">
        <v>1.2745666666666666</v>
      </c>
      <c r="Q7" s="15"/>
      <c r="R7" s="7">
        <v>27.4</v>
      </c>
      <c r="S7" s="7">
        <v>27.4</v>
      </c>
      <c r="T7" s="3">
        <v>7.340342613379967</v>
      </c>
      <c r="U7" s="4">
        <f t="shared" si="3"/>
        <v>0.26789571581678712</v>
      </c>
      <c r="V7" s="3">
        <v>111442.54103677796</v>
      </c>
      <c r="W7" s="17">
        <v>6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6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6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113.71849999999999</v>
      </c>
      <c r="BA7" s="17">
        <f t="shared" si="7"/>
        <v>35.303475670485341</v>
      </c>
      <c r="BB7" s="4">
        <f t="shared" si="8"/>
        <v>0.31044619539024293</v>
      </c>
      <c r="BC7" s="3">
        <f t="shared" si="0"/>
        <v>108909.75601321482</v>
      </c>
      <c r="BD7" s="7">
        <f t="shared" si="1"/>
        <v>6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f>5310000/100000</f>
        <v>53.1</v>
      </c>
      <c r="BP7">
        <f>611850/100000</f>
        <v>6.1185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F8" s="5"/>
      <c r="G8" s="14">
        <v>33</v>
      </c>
      <c r="H8" s="17">
        <v>29.1525</v>
      </c>
      <c r="I8" s="3">
        <v>4.4074999999999989</v>
      </c>
      <c r="J8" s="4">
        <f t="shared" si="2"/>
        <v>0.15118771974959261</v>
      </c>
      <c r="K8" s="3">
        <v>101000</v>
      </c>
      <c r="L8" s="17">
        <v>8.1666666666666661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8.1666666666666661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8.1666666666666661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8.1666666666666661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130.85249999999999</v>
      </c>
      <c r="BA8" s="17">
        <f t="shared" si="7"/>
        <v>24.448999999999991</v>
      </c>
      <c r="BB8" s="4">
        <f t="shared" si="8"/>
        <v>0.18684396553371158</v>
      </c>
      <c r="BC8" s="3">
        <f t="shared" si="0"/>
        <v>108575</v>
      </c>
      <c r="BD8" s="7">
        <f t="shared" si="1"/>
        <v>8.1666666666666661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f>1305250/100000</f>
        <v>13.0525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F9" s="5"/>
      <c r="G9" s="14">
        <v>51.75</v>
      </c>
      <c r="H9" s="17">
        <v>25.08</v>
      </c>
      <c r="I9" s="3">
        <v>-0.5778053411884656</v>
      </c>
      <c r="J9" s="4">
        <f t="shared" si="2"/>
        <v>-2.3038490478008995E-2</v>
      </c>
      <c r="K9" s="3">
        <v>80180.641691213954</v>
      </c>
      <c r="L9" s="17">
        <v>10.666666666666666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10.666666666666666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10.666666666666666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10.666666666666666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169.07999999999998</v>
      </c>
      <c r="BA9" s="17">
        <f t="shared" si="7"/>
        <v>58.751437032889598</v>
      </c>
      <c r="BB9" s="4">
        <f t="shared" si="8"/>
        <v>0.34747715302158505</v>
      </c>
      <c r="BC9" s="3">
        <f t="shared" si="0"/>
        <v>86194.189818055005</v>
      </c>
      <c r="BD9" s="7">
        <f t="shared" si="1"/>
        <v>10.666666666666666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P9">
        <f>458000/100000</f>
        <v>4.58</v>
      </c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F10" s="5"/>
      <c r="G10" s="14">
        <v>10</v>
      </c>
      <c r="H10" s="17">
        <v>9.7707377999999991</v>
      </c>
      <c r="I10" s="3">
        <v>3.446138567772473</v>
      </c>
      <c r="J10" s="4">
        <f t="shared" si="2"/>
        <v>0.35269993303601632</v>
      </c>
      <c r="K10" s="3">
        <v>105409.9872037921</v>
      </c>
      <c r="L10" s="17">
        <v>2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2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2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2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47.770737799999999</v>
      </c>
      <c r="BA10" s="17">
        <f t="shared" si="7"/>
        <v>20.574961101421636</v>
      </c>
      <c r="BB10" s="4">
        <f t="shared" si="8"/>
        <v>0.4307021839930979</v>
      </c>
      <c r="BC10" s="3">
        <f t="shared" si="0"/>
        <v>113315.73624407653</v>
      </c>
      <c r="BD10" s="7">
        <f t="shared" si="1"/>
        <v>2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P10">
        <v>0</v>
      </c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F11" s="5"/>
      <c r="G11" s="14">
        <v>51.5</v>
      </c>
      <c r="H11" s="17">
        <v>40.739999999999995</v>
      </c>
      <c r="I11" s="3">
        <v>16.682275115075424</v>
      </c>
      <c r="J11" s="4">
        <f t="shared" si="2"/>
        <v>0.40948147066949991</v>
      </c>
      <c r="K11" s="3">
        <v>92529.711095863735</v>
      </c>
      <c r="L11" s="17">
        <v>8.6666666666666661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8.6666666666666661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8.6666666666666661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8.6666666666666661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184.33999999999997</v>
      </c>
      <c r="BA11" s="17">
        <f t="shared" si="7"/>
        <v>80.891782994824339</v>
      </c>
      <c r="BB11" s="4">
        <f t="shared" si="8"/>
        <v>0.43881839532833</v>
      </c>
      <c r="BC11" s="3">
        <f t="shared" si="0"/>
        <v>99469.439428053534</v>
      </c>
      <c r="BD11" s="7">
        <f t="shared" si="1"/>
        <v>8.6666666666666661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>
        <f>1371147/100000</f>
        <v>13.71147</v>
      </c>
      <c r="BP11">
        <f>1279000/100000</f>
        <v>12.79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v>417</v>
      </c>
      <c r="I12" s="3">
        <v>181.45506157435264</v>
      </c>
      <c r="J12" s="4">
        <f t="shared" si="2"/>
        <v>0.43514403255240441</v>
      </c>
      <c r="K12" s="3">
        <v>139210.95651634005</v>
      </c>
      <c r="L12" s="17">
        <v>56.4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392.27188129999996</v>
      </c>
      <c r="T12" s="3">
        <v>133.17244903178783</v>
      </c>
      <c r="U12" s="4">
        <f t="shared" si="3"/>
        <v>0.33949017347471</v>
      </c>
      <c r="V12" s="3">
        <v>153132.05216797406</v>
      </c>
      <c r="W12" s="17">
        <v>56.4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56.4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56.4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1530.8479106999998</v>
      </c>
      <c r="BA12" s="17">
        <f t="shared" si="7"/>
        <v>518.00467546971618</v>
      </c>
      <c r="BB12" s="4">
        <f t="shared" si="8"/>
        <v>0.33837762187156262</v>
      </c>
      <c r="BC12" s="3">
        <f t="shared" si="0"/>
        <v>149651.77825506555</v>
      </c>
      <c r="BD12" s="7">
        <f t="shared" si="1"/>
        <v>56.4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P12">
        <v>0</v>
      </c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2.4</v>
      </c>
      <c r="M13" s="17"/>
      <c r="N13" s="6"/>
      <c r="O13" s="3"/>
      <c r="P13" s="7">
        <v>4.9283333333333337</v>
      </c>
      <c r="Q13" s="15"/>
      <c r="R13" s="7">
        <v>27</v>
      </c>
      <c r="S13" s="7">
        <v>27</v>
      </c>
      <c r="T13" s="3">
        <v>16.872312073691592</v>
      </c>
      <c r="U13" s="4">
        <f t="shared" si="3"/>
        <v>0.6249004471737627</v>
      </c>
      <c r="V13" s="3">
        <v>140662.332309839</v>
      </c>
      <c r="W13" s="17">
        <v>2.4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2.4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2.4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84.784999999999997</v>
      </c>
      <c r="BA13" s="17">
        <f t="shared" si="7"/>
        <v>45.194947197158044</v>
      </c>
      <c r="BB13" s="4">
        <f t="shared" si="8"/>
        <v>0.53305357312210944</v>
      </c>
      <c r="BC13" s="3">
        <f t="shared" si="0"/>
        <v>137465.46112097902</v>
      </c>
      <c r="BD13" s="7">
        <f t="shared" si="1"/>
        <v>2.4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f>378500/100000</f>
        <v>3.7850000000000001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1.3499999999999999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7">
        <f t="shared" si="1"/>
        <v>0.33749999999999997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>
        <f>809775/100000</f>
        <v>8.0977499999999996</v>
      </c>
      <c r="BP14">
        <f>90000/100000</f>
        <v>0.9</v>
      </c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7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P15">
        <v>0</v>
      </c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3.6666666666666665</v>
      </c>
      <c r="M16" s="17"/>
      <c r="N16" s="6"/>
      <c r="O16" s="3"/>
      <c r="P16" s="7">
        <v>2.2652816666666666</v>
      </c>
      <c r="Q16" s="15"/>
      <c r="R16" s="7">
        <v>13</v>
      </c>
      <c r="S16" s="7">
        <v>13</v>
      </c>
      <c r="T16" s="3">
        <v>2.7762673401577427</v>
      </c>
      <c r="U16" s="4">
        <f t="shared" si="3"/>
        <v>0.21355902616598021</v>
      </c>
      <c r="V16" s="3">
        <v>92943.024180384149</v>
      </c>
      <c r="W16" s="17">
        <v>3.6666666666666665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3.6666666666666665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3.6666666666666665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49.59169</v>
      </c>
      <c r="BA16" s="17">
        <f t="shared" si="7"/>
        <v>9.6261896024348133</v>
      </c>
      <c r="BB16" s="4">
        <f t="shared" si="8"/>
        <v>0.19410892434669624</v>
      </c>
      <c r="BC16" s="3">
        <f t="shared" si="0"/>
        <v>90830.682721739053</v>
      </c>
      <c r="BD16" s="7">
        <f t="shared" si="1"/>
        <v>3.6666666666666665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>
        <f>12920/100000</f>
        <v>0.12920000000000001</v>
      </c>
      <c r="BP16">
        <v>0</v>
      </c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F17" s="5"/>
      <c r="G17" s="14">
        <v>305</v>
      </c>
      <c r="H17" s="17">
        <v>364.6077823</v>
      </c>
      <c r="I17" s="3">
        <v>137.39413898733835</v>
      </c>
      <c r="J17" s="4">
        <f t="shared" si="2"/>
        <v>0.37682722546577513</v>
      </c>
      <c r="K17" s="3">
        <v>93889.935253165968</v>
      </c>
      <c r="L17" s="17">
        <v>80.666666666666671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80.666666666666671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80.666666666666671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80.666666666666671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1444.6077823000001</v>
      </c>
      <c r="BA17" s="17">
        <f t="shared" si="7"/>
        <v>467.58911605555488</v>
      </c>
      <c r="BB17" s="4">
        <f t="shared" si="8"/>
        <v>0.32367894025262228</v>
      </c>
      <c r="BC17" s="3">
        <f t="shared" si="0"/>
        <v>100931.68039715342</v>
      </c>
      <c r="BD17" s="7">
        <f t="shared" si="1"/>
        <v>80.666666666666671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P17">
        <v>0</v>
      </c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F18" s="5"/>
      <c r="G18" s="14">
        <v>70</v>
      </c>
      <c r="H18" s="17">
        <v>76.191083499999991</v>
      </c>
      <c r="I18" s="3">
        <v>36.998225002405718</v>
      </c>
      <c r="J18" s="4">
        <f t="shared" si="2"/>
        <v>0.48559783248660221</v>
      </c>
      <c r="K18" s="3">
        <v>130642.86165864758</v>
      </c>
      <c r="L18" s="17">
        <v>10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10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10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10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256.19108349999999</v>
      </c>
      <c r="BA18" s="17">
        <f t="shared" si="7"/>
        <v>87.661791960344601</v>
      </c>
      <c r="BB18" s="4">
        <f t="shared" si="8"/>
        <v>0.3421734697505372</v>
      </c>
      <c r="BC18" s="3">
        <f t="shared" si="0"/>
        <v>140441.07628304616</v>
      </c>
      <c r="BD18" s="7">
        <f t="shared" si="1"/>
        <v>10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P18">
        <v>0</v>
      </c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12.199999999999998</v>
      </c>
      <c r="M19" s="17"/>
      <c r="N19" s="6"/>
      <c r="O19" s="3"/>
      <c r="P19" s="7">
        <v>2.86625</v>
      </c>
      <c r="Q19" s="15"/>
      <c r="R19" s="7">
        <v>150</v>
      </c>
      <c r="S19" s="7">
        <v>150</v>
      </c>
      <c r="T19" s="3">
        <v>110.21322812529024</v>
      </c>
      <c r="U19" s="4">
        <f t="shared" si="3"/>
        <v>0.73475485416860165</v>
      </c>
      <c r="V19" s="3">
        <v>108707.02698008134</v>
      </c>
      <c r="W19" s="17">
        <v>12.199999999999998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12.199999999999998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12.199999999999998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485.98750000000001</v>
      </c>
      <c r="BA19" s="17">
        <f t="shared" si="7"/>
        <v>330.45739176249822</v>
      </c>
      <c r="BB19" s="4">
        <f t="shared" si="8"/>
        <v>0.67997096995807138</v>
      </c>
      <c r="BC19" s="3">
        <f t="shared" si="0"/>
        <v>106236.41273053404</v>
      </c>
      <c r="BD19" s="7">
        <f t="shared" si="1"/>
        <v>12.199999999999998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P19">
        <f>3998750/100000</f>
        <v>39.987499999999997</v>
      </c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F20" s="5"/>
      <c r="G20" s="14">
        <v>20.110000000000003</v>
      </c>
      <c r="H20" s="17">
        <v>26.270800000000001</v>
      </c>
      <c r="I20" s="3">
        <v>14.87647828160393</v>
      </c>
      <c r="J20" s="4">
        <f t="shared" si="2"/>
        <v>0.56627427720525947</v>
      </c>
      <c r="K20" s="3">
        <v>87648.628603046702</v>
      </c>
      <c r="L20" s="17">
        <v>4.333333333333333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24.865000000000002</v>
      </c>
      <c r="T20" s="3">
        <v>12.331246109764322</v>
      </c>
      <c r="U20" s="4">
        <f t="shared" si="3"/>
        <v>0.49592785480652812</v>
      </c>
      <c r="V20" s="3">
        <v>96413.491463351384</v>
      </c>
      <c r="W20" s="17">
        <v>4.333333333333333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4.333333333333333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4.333333333333333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100.48080000000002</v>
      </c>
      <c r="BA20" s="17">
        <f t="shared" si="7"/>
        <v>51.485216610896892</v>
      </c>
      <c r="BB20" s="4">
        <f t="shared" si="8"/>
        <v>0.51238860171193779</v>
      </c>
      <c r="BC20" s="3">
        <f t="shared" si="0"/>
        <v>94222.27574827522</v>
      </c>
      <c r="BD20" s="7">
        <f t="shared" si="1"/>
        <v>4.333333333333333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P20">
        <f>699080/100000</f>
        <v>6.9908000000000001</v>
      </c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F21" s="5"/>
      <c r="G21" s="14">
        <v>90</v>
      </c>
      <c r="H21" s="17">
        <v>109.23983000000001</v>
      </c>
      <c r="I21" s="3">
        <v>10.614882712791442</v>
      </c>
      <c r="J21" s="4">
        <f t="shared" si="2"/>
        <v>9.7170443351948105E-2</v>
      </c>
      <c r="K21" s="3">
        <v>92605.584307238096</v>
      </c>
      <c r="L21" s="17">
        <v>35.5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35.5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35.5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35.5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379.23982999999998</v>
      </c>
      <c r="BA21" s="17">
        <f t="shared" si="7"/>
        <v>-44.847443334996896</v>
      </c>
      <c r="BB21" s="4">
        <f t="shared" si="8"/>
        <v>-0.11825615293361169</v>
      </c>
      <c r="BC21" s="3">
        <f t="shared" si="0"/>
        <v>99551.003130280951</v>
      </c>
      <c r="BD21" s="7">
        <f t="shared" si="1"/>
        <v>35.5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>
        <f>6916924/100000</f>
        <v>69.169240000000002</v>
      </c>
      <c r="BP21">
        <f>2627983/100000</f>
        <v>26.27983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F22" s="5"/>
      <c r="G22" s="14">
        <v>15</v>
      </c>
      <c r="H22" s="17">
        <v>4.7450000000000001</v>
      </c>
      <c r="I22" s="3">
        <v>2.6832903000433048</v>
      </c>
      <c r="J22" s="4">
        <f t="shared" si="2"/>
        <v>0.56549848262240354</v>
      </c>
      <c r="K22" s="3">
        <v>103085.48499783476</v>
      </c>
      <c r="L22" s="17">
        <v>0.66666666666666663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0.66666666666666663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0.66666666666666663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0.66666666666666663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79.745000000000005</v>
      </c>
      <c r="BA22" s="17">
        <f t="shared" si="7"/>
        <v>70.879648290186211</v>
      </c>
      <c r="BB22" s="4">
        <f t="shared" si="8"/>
        <v>0.88882874525282096</v>
      </c>
      <c r="BC22" s="3">
        <f t="shared" si="0"/>
        <v>110816.89637267237</v>
      </c>
      <c r="BD22" s="7">
        <f t="shared" si="1"/>
        <v>0.66666666666666663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v>0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1</v>
      </c>
      <c r="M23" s="17"/>
      <c r="N23" s="6"/>
      <c r="O23" s="3"/>
      <c r="P23" s="7">
        <v>0.8948166666666667</v>
      </c>
      <c r="Q23" s="15"/>
      <c r="R23" s="7">
        <v>4</v>
      </c>
      <c r="S23" s="7">
        <v>4</v>
      </c>
      <c r="T23" s="3">
        <v>0.36519116710890964</v>
      </c>
      <c r="U23" s="4">
        <f t="shared" si="3"/>
        <v>9.1297791777227411E-2</v>
      </c>
      <c r="V23" s="3">
        <v>121160.29442970302</v>
      </c>
      <c r="W23" s="17">
        <v>1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1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1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6.68445</v>
      </c>
      <c r="BA23" s="17">
        <f t="shared" si="7"/>
        <v>-7.5243481649378978</v>
      </c>
      <c r="BB23" s="4">
        <f t="shared" si="8"/>
        <v>-1.125649554553912</v>
      </c>
      <c r="BC23" s="3">
        <f t="shared" si="0"/>
        <v>118406.65137448251</v>
      </c>
      <c r="BD23" s="7">
        <f t="shared" si="1"/>
        <v>1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f>622857.14/100000</f>
        <v>6.2285713999999999</v>
      </c>
      <c r="BP23">
        <f>68445/100000</f>
        <v>0.68445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F24" s="5"/>
      <c r="G24" s="14">
        <v>32</v>
      </c>
      <c r="H24" s="17">
        <v>12.710570000000001</v>
      </c>
      <c r="I24" s="3">
        <v>-2.4151834685570144</v>
      </c>
      <c r="J24" s="4">
        <f t="shared" si="2"/>
        <v>-0.19001378132979199</v>
      </c>
      <c r="K24" s="3">
        <v>100838.35645704676</v>
      </c>
      <c r="L24" s="17">
        <v>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100.71057</v>
      </c>
      <c r="BA24" s="17">
        <f t="shared" si="7"/>
        <v>35.669830085204836</v>
      </c>
      <c r="BB24" s="4">
        <f t="shared" si="8"/>
        <v>0.35418159270873789</v>
      </c>
      <c r="BC24" s="3">
        <f t="shared" si="0"/>
        <v>108401.23319132529</v>
      </c>
      <c r="BD24" s="7">
        <f t="shared" si="1"/>
        <v>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P24">
        <v>0</v>
      </c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F25" s="5"/>
      <c r="G25" s="14">
        <v>21</v>
      </c>
      <c r="H25" s="17">
        <v>29.515699999999999</v>
      </c>
      <c r="I25" s="3">
        <v>14.533742816992021</v>
      </c>
      <c r="J25" s="4">
        <f t="shared" si="2"/>
        <v>0.49240718725939148</v>
      </c>
      <c r="K25" s="3">
        <v>99879.714553386511</v>
      </c>
      <c r="L25" s="17">
        <v>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95.015699999999995</v>
      </c>
      <c r="BA25" s="17">
        <f t="shared" si="7"/>
        <v>30.593284113065689</v>
      </c>
      <c r="BB25" s="4">
        <f t="shared" si="8"/>
        <v>0.32198135795521887</v>
      </c>
      <c r="BC25" s="3">
        <f t="shared" si="0"/>
        <v>107370.69314489051</v>
      </c>
      <c r="BD25" s="7">
        <f t="shared" si="1"/>
        <v>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P25">
        <v>0</v>
      </c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48.223479999999995</v>
      </c>
      <c r="I26" s="3">
        <v>-17.374233561904248</v>
      </c>
      <c r="J26" s="4">
        <f t="shared" si="2"/>
        <v>-0.36028576871483042</v>
      </c>
      <c r="K26" s="3">
        <v>117138.77421768615</v>
      </c>
      <c r="L26" s="17">
        <v>18.666666666666668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18.666666666666668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18.666666666666668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18.666666666666668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192.22348</v>
      </c>
      <c r="BA26" s="17">
        <f t="shared" si="7"/>
        <v>-89.846688316188292</v>
      </c>
      <c r="BB26" s="4">
        <f t="shared" si="8"/>
        <v>-0.46740745884003504</v>
      </c>
      <c r="BC26" s="3">
        <f t="shared" si="0"/>
        <v>125924.18228401261</v>
      </c>
      <c r="BD26" s="7">
        <f t="shared" si="1"/>
        <v>18.666666666666668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f>2422348/100000</f>
        <v>24.223479999999999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0.33333333333333331</v>
      </c>
      <c r="M27" s="17"/>
      <c r="N27" s="6"/>
      <c r="O27" s="3"/>
      <c r="P27" s="7">
        <v>0</v>
      </c>
      <c r="Q27" s="15"/>
      <c r="R27" s="7">
        <v>4</v>
      </c>
      <c r="S27" s="7">
        <v>4</v>
      </c>
      <c r="T27" s="3">
        <v>2.5665072492101251</v>
      </c>
      <c r="U27" s="4">
        <f t="shared" si="3"/>
        <v>0.64162681230253127</v>
      </c>
      <c r="V27" s="3">
        <v>143349.27507898747</v>
      </c>
      <c r="W27" s="17">
        <v>0.33333333333333331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0.33333333333333331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0.33333333333333331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7</v>
      </c>
      <c r="BA27" s="17">
        <f t="shared" si="7"/>
        <v>1.3963465196395803</v>
      </c>
      <c r="BB27" s="4">
        <f t="shared" si="8"/>
        <v>0.19947807423422576</v>
      </c>
      <c r="BC27" s="3">
        <f t="shared" si="0"/>
        <v>140091.33700901049</v>
      </c>
      <c r="BD27" s="7">
        <f t="shared" si="1"/>
        <v>0.33333333333333331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P27">
        <v>0</v>
      </c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F28" s="5"/>
      <c r="G28" s="14">
        <v>33</v>
      </c>
      <c r="H28" s="17">
        <v>33.29</v>
      </c>
      <c r="I28" s="3">
        <v>-2.2802725438410221E-2</v>
      </c>
      <c r="J28" s="4">
        <f t="shared" si="2"/>
        <v>-6.8497222704746834E-4</v>
      </c>
      <c r="K28" s="3">
        <v>83282.006813596032</v>
      </c>
      <c r="L28" s="17">
        <v>13.333333333333334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13.333333333333334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13.333333333333334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13.333333333333334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179.29</v>
      </c>
      <c r="BA28" s="17">
        <f t="shared" si="7"/>
        <v>36.044948280614832</v>
      </c>
      <c r="BB28" s="4">
        <f t="shared" si="8"/>
        <v>0.20104271448834199</v>
      </c>
      <c r="BC28" s="3">
        <f t="shared" si="0"/>
        <v>89528.157324615735</v>
      </c>
      <c r="BD28" s="7">
        <f t="shared" si="1"/>
        <v>13.333333333333334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P28">
        <v>0</v>
      </c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F29" s="5"/>
      <c r="G29" s="14">
        <v>12</v>
      </c>
      <c r="H29" s="17">
        <v>18.850709999999999</v>
      </c>
      <c r="I29" s="3">
        <v>-0.41791048643062467</v>
      </c>
      <c r="J29" s="4">
        <f t="shared" si="2"/>
        <v>-2.2169482551618727E-2</v>
      </c>
      <c r="K29" s="3">
        <v>91755.335649669636</v>
      </c>
      <c r="L29" s="17">
        <v>7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7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7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7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66.850709999999992</v>
      </c>
      <c r="BA29" s="17">
        <f t="shared" si="7"/>
        <v>-16.004358091651685</v>
      </c>
      <c r="BB29" s="4">
        <f t="shared" si="8"/>
        <v>-0.23940445945378422</v>
      </c>
      <c r="BC29" s="3">
        <f t="shared" si="0"/>
        <v>98636.985823394876</v>
      </c>
      <c r="BD29" s="7">
        <f t="shared" si="1"/>
        <v>7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P29">
        <f>549471/100000</f>
        <v>5.4947100000000004</v>
      </c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7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P30">
        <v>0</v>
      </c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F31" s="5"/>
      <c r="G31" s="14">
        <v>100</v>
      </c>
      <c r="H31" s="17">
        <v>69</v>
      </c>
      <c r="I31" s="3">
        <v>-7.8140606242287447</v>
      </c>
      <c r="J31" s="4">
        <f t="shared" si="2"/>
        <v>-0.11324725542360499</v>
      </c>
      <c r="K31" s="3">
        <v>92547.060993046674</v>
      </c>
      <c r="L31" s="17">
        <v>27.666666666666668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27.666666666666668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27.666666666666668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27.666666666666668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449</v>
      </c>
      <c r="BA31" s="17">
        <f t="shared" si="7"/>
        <v>118.69953931581642</v>
      </c>
      <c r="BB31" s="4">
        <f t="shared" si="8"/>
        <v>0.26436423010204102</v>
      </c>
      <c r="BC31" s="3">
        <f t="shared" si="0"/>
        <v>99488.090567525171</v>
      </c>
      <c r="BD31" s="7">
        <f t="shared" si="1"/>
        <v>27.666666666666668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P31">
        <f>2650000/100000</f>
        <v>26.5</v>
      </c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F32" s="5"/>
      <c r="G32" s="14">
        <v>62.730000000000004</v>
      </c>
      <c r="H32" s="17">
        <v>82.3</v>
      </c>
      <c r="I32" s="3">
        <v>44.481880147597906</v>
      </c>
      <c r="J32" s="4">
        <f t="shared" si="2"/>
        <v>0.54048457044468901</v>
      </c>
      <c r="K32" s="3">
        <v>87949.115935818816</v>
      </c>
      <c r="L32" s="17">
        <v>14.333333333333334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14.333333333333334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14.333333333333334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14.333333333333334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265.54000000000002</v>
      </c>
      <c r="BA32" s="17">
        <f t="shared" si="7"/>
        <v>102.92208463467099</v>
      </c>
      <c r="BB32" s="4">
        <f t="shared" si="8"/>
        <v>0.38759540797872633</v>
      </c>
      <c r="BC32" s="3">
        <f t="shared" si="0"/>
        <v>94545.29963100524</v>
      </c>
      <c r="BD32" s="7">
        <f t="shared" si="1"/>
        <v>14.333333333333334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f>1675000/100000</f>
        <v>16.75</v>
      </c>
      <c r="BP32">
        <f>3080000/100000</f>
        <v>30.8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1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1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1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1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7">
        <f t="shared" si="1"/>
        <v>1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P33">
        <v>0</v>
      </c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F34" s="5"/>
      <c r="G34" s="14">
        <v>0</v>
      </c>
      <c r="H34" s="17">
        <v>0</v>
      </c>
      <c r="I34" s="3">
        <v>0</v>
      </c>
      <c r="J34" s="4">
        <f t="shared" si="2"/>
        <v>0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0</v>
      </c>
      <c r="BA34" s="17">
        <f t="shared" si="7"/>
        <v>0</v>
      </c>
      <c r="BB34" s="4">
        <f t="shared" si="8"/>
        <v>0</v>
      </c>
      <c r="BC34" s="3">
        <f t="shared" si="0"/>
        <v>0</v>
      </c>
      <c r="BD34" s="7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P34">
        <v>0</v>
      </c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F35" s="5"/>
      <c r="G35" s="14">
        <v>8.6</v>
      </c>
      <c r="H35" s="17">
        <v>7.67</v>
      </c>
      <c r="I35" s="3">
        <v>1.0059072126352868</v>
      </c>
      <c r="J35" s="4">
        <f t="shared" si="2"/>
        <v>0.13114826761868145</v>
      </c>
      <c r="K35" s="3">
        <v>95201.325533781623</v>
      </c>
      <c r="L35" s="17">
        <v>2.3333333333333335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2.3333333333333335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2.3333333333333335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2.3333333333333335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40.17</v>
      </c>
      <c r="BA35" s="17">
        <f t="shared" si="7"/>
        <v>11.514401014331728</v>
      </c>
      <c r="BB35" s="4">
        <f t="shared" si="8"/>
        <v>0.28664179771799175</v>
      </c>
      <c r="BC35" s="3">
        <f t="shared" ref="BC35:BC59" si="10">AVERAGE(K35,V35,AG35,AR35)</f>
        <v>102341.42494881524</v>
      </c>
      <c r="BD35" s="7">
        <f t="shared" ref="BD35:BD59" si="11">AVERAGE(L35,W35,AH35,AS35)</f>
        <v>2.3333333333333335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P35">
        <v>0</v>
      </c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F36" s="5"/>
      <c r="G36" s="14">
        <v>23.61</v>
      </c>
      <c r="H36" s="17">
        <v>19.666775000000001</v>
      </c>
      <c r="I36" s="3">
        <v>6.4909923722805818</v>
      </c>
      <c r="J36" s="4">
        <f t="shared" si="2"/>
        <v>0.33004864154293634</v>
      </c>
      <c r="K36" s="3">
        <v>82348.641423246372</v>
      </c>
      <c r="L36" s="17">
        <v>5.333333333333333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5.333333333333333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5.333333333333333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5.333333333333333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96.375775000000004</v>
      </c>
      <c r="BA36" s="17">
        <f t="shared" si="7"/>
        <v>39.71990970080649</v>
      </c>
      <c r="BB36" s="4">
        <f t="shared" si="8"/>
        <v>0.41213582667227827</v>
      </c>
      <c r="BC36" s="3">
        <f t="shared" si="10"/>
        <v>88524.789529989852</v>
      </c>
      <c r="BD36" s="7">
        <f t="shared" si="11"/>
        <v>5.333333333333333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>
        <f>313160/100000</f>
        <v>3.1316000000000002</v>
      </c>
      <c r="BP36">
        <f>360677.5/100000</f>
        <v>3.6067749999999998</v>
      </c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F37" s="5"/>
      <c r="G37" s="14">
        <v>112</v>
      </c>
      <c r="H37" s="17">
        <v>83.289999999999992</v>
      </c>
      <c r="I37" s="3">
        <v>-31.864374589761098</v>
      </c>
      <c r="J37" s="4">
        <f t="shared" si="2"/>
        <v>-0.38257143222188861</v>
      </c>
      <c r="K37" s="3">
        <v>94388.83163095171</v>
      </c>
      <c r="L37" s="17">
        <v>40.666666666666664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40.666666666666664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40.666666666666664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40.666666666666664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397.28999999999996</v>
      </c>
      <c r="BA37" s="17">
        <f t="shared" si="7"/>
        <v>-97.873810735972697</v>
      </c>
      <c r="BB37" s="4">
        <f t="shared" si="8"/>
        <v>-0.2463535722922115</v>
      </c>
      <c r="BC37" s="3">
        <f t="shared" si="10"/>
        <v>101467.9940032731</v>
      </c>
      <c r="BD37" s="7">
        <f t="shared" si="11"/>
        <v>40.666666666666664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P37">
        <v>37.19</v>
      </c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54.4</v>
      </c>
      <c r="I38" s="3">
        <v>19.183197784832394</v>
      </c>
      <c r="J38" s="4">
        <f t="shared" si="2"/>
        <v>0.35263231222118374</v>
      </c>
      <c r="K38" s="3">
        <v>100619.43490047885</v>
      </c>
      <c r="L38" s="17">
        <v>11.666666666666666</v>
      </c>
      <c r="M38" s="17"/>
      <c r="N38" s="6"/>
      <c r="O38" s="3"/>
      <c r="P38" s="7">
        <v>2.1904761904761907</v>
      </c>
      <c r="Q38" s="15"/>
      <c r="R38" s="7">
        <v>64</v>
      </c>
      <c r="S38" s="7">
        <v>64</v>
      </c>
      <c r="T38" s="3">
        <v>25.261517563315643</v>
      </c>
      <c r="U38" s="4">
        <f t="shared" si="3"/>
        <v>0.39471121192680692</v>
      </c>
      <c r="V38" s="3">
        <v>110681.37839052675</v>
      </c>
      <c r="W38" s="17">
        <v>11.666666666666666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11.666666666666666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11.666666666666666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240.4</v>
      </c>
      <c r="BA38" s="17">
        <f t="shared" si="7"/>
        <v>88.967750474779336</v>
      </c>
      <c r="BB38" s="4">
        <f t="shared" si="8"/>
        <v>0.37008215671705214</v>
      </c>
      <c r="BC38" s="3">
        <f t="shared" si="10"/>
        <v>108165.89251801478</v>
      </c>
      <c r="BD38" s="7">
        <f t="shared" si="11"/>
        <v>11.666666666666666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P38">
        <v>0</v>
      </c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F39" s="5"/>
      <c r="G39" s="14">
        <v>15.5</v>
      </c>
      <c r="H39" s="17">
        <v>15.617506000000001</v>
      </c>
      <c r="I39" s="3">
        <v>7.2049330667986631</v>
      </c>
      <c r="J39" s="4">
        <f t="shared" si="2"/>
        <v>0.46133698087253255</v>
      </c>
      <c r="K39" s="3">
        <v>93473.032591125986</v>
      </c>
      <c r="L39" s="17">
        <v>3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3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3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3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65.617506000000006</v>
      </c>
      <c r="BA39" s="17">
        <f t="shared" si="7"/>
        <v>29.443442387234239</v>
      </c>
      <c r="BB39" s="4">
        <f t="shared" si="8"/>
        <v>0.44871321971966194</v>
      </c>
      <c r="BC39" s="3">
        <f t="shared" si="10"/>
        <v>100483.51003546044</v>
      </c>
      <c r="BD39" s="7">
        <f t="shared" si="11"/>
        <v>3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P39">
        <v>0</v>
      </c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F40" s="5"/>
      <c r="G40" s="14">
        <v>12</v>
      </c>
      <c r="H40" s="17">
        <v>21.461610400000001</v>
      </c>
      <c r="I40" s="3">
        <v>9.1148821293751645</v>
      </c>
      <c r="J40" s="4">
        <f t="shared" si="2"/>
        <v>0.4247063458656003</v>
      </c>
      <c r="K40" s="3">
        <v>102889.40225520697</v>
      </c>
      <c r="L40" s="17">
        <v>4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4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4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4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67.461610399999998</v>
      </c>
      <c r="BA40" s="17">
        <f t="shared" si="7"/>
        <v>14.370678836313207</v>
      </c>
      <c r="BB40" s="4">
        <f t="shared" si="8"/>
        <v>0.21302009766895821</v>
      </c>
      <c r="BC40" s="3">
        <f t="shared" si="10"/>
        <v>110606.10742434752</v>
      </c>
      <c r="BD40" s="7">
        <f t="shared" si="11"/>
        <v>4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P40">
        <v>0</v>
      </c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7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P41">
        <v>0</v>
      </c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F42" s="5"/>
      <c r="G42" s="14">
        <v>28.5</v>
      </c>
      <c r="H42" s="17">
        <v>28.33</v>
      </c>
      <c r="I42" s="3">
        <v>11.953775311772247</v>
      </c>
      <c r="J42" s="4">
        <f t="shared" si="2"/>
        <v>0.42194759307349977</v>
      </c>
      <c r="K42" s="3">
        <v>109174.83125485166</v>
      </c>
      <c r="L42" s="17">
        <v>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104.83</v>
      </c>
      <c r="BA42" s="17">
        <f t="shared" si="7"/>
        <v>34.412233840620672</v>
      </c>
      <c r="BB42" s="4">
        <f t="shared" si="8"/>
        <v>0.3282670403569653</v>
      </c>
      <c r="BC42" s="3">
        <f t="shared" si="10"/>
        <v>117362.94359896555</v>
      </c>
      <c r="BD42" s="7">
        <f t="shared" si="11"/>
        <v>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>
        <f>422500/100000</f>
        <v>4.2249999999999996</v>
      </c>
      <c r="BP42">
        <f>1017000/100000</f>
        <v>10.17</v>
      </c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0.33333333333333331</v>
      </c>
      <c r="M43" s="17"/>
      <c r="N43" s="6"/>
      <c r="O43" s="3"/>
      <c r="P43" s="7">
        <v>0.33333333333333331</v>
      </c>
      <c r="Q43" s="15"/>
      <c r="R43" s="7">
        <v>0</v>
      </c>
      <c r="S43" s="7">
        <v>0</v>
      </c>
      <c r="T43" s="3">
        <v>0</v>
      </c>
      <c r="U43" s="4">
        <f t="shared" si="3"/>
        <v>0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1</v>
      </c>
      <c r="BA43" s="17">
        <f t="shared" si="7"/>
        <v>9.9999999999999978E-2</v>
      </c>
      <c r="BB43" s="4">
        <f t="shared" si="8"/>
        <v>9.9999999999999978E-2</v>
      </c>
      <c r="BC43" s="3">
        <f t="shared" si="10"/>
        <v>22500</v>
      </c>
      <c r="BD43" s="7">
        <f t="shared" si="11"/>
        <v>8.3333333333333329E-2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P43">
        <v>0</v>
      </c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4.6000000000000005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4.6000000000000005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4.6000000000000005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4.6000000000000005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7">
        <f t="shared" si="11"/>
        <v>4.6000000000000005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f>1308437.5/100000</f>
        <v>13.084375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4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43.296000000000006</v>
      </c>
      <c r="T45" s="3">
        <v>28.030024451322483</v>
      </c>
      <c r="U45" s="4">
        <f t="shared" si="3"/>
        <v>0.64740448196883038</v>
      </c>
      <c r="V45" s="3">
        <v>127216.46290564603</v>
      </c>
      <c r="W45" s="17">
        <v>4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4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4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156.03080000000003</v>
      </c>
      <c r="BA45" s="17">
        <f t="shared" si="7"/>
        <v>96.354713764260623</v>
      </c>
      <c r="BB45" s="4">
        <f t="shared" si="8"/>
        <v>0.61753649769315166</v>
      </c>
      <c r="BC45" s="3">
        <f t="shared" si="10"/>
        <v>124325.17965779043</v>
      </c>
      <c r="BD45" s="7">
        <f t="shared" si="11"/>
        <v>4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f>1970400/100000</f>
        <v>19.704000000000001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F46" s="5"/>
      <c r="G46" s="14">
        <v>19.099999999999998</v>
      </c>
      <c r="H46" s="17">
        <v>25.450000000000003</v>
      </c>
      <c r="I46" s="3">
        <v>11.208902406452644</v>
      </c>
      <c r="J46" s="4">
        <f t="shared" si="2"/>
        <v>0.44042838532230422</v>
      </c>
      <c r="K46" s="3">
        <v>74953.145229196627</v>
      </c>
      <c r="L46" s="17">
        <v>6.333333333333333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20.399999999999999</v>
      </c>
      <c r="T46" s="3">
        <v>4.7347926470979029</v>
      </c>
      <c r="U46" s="4">
        <f t="shared" si="3"/>
        <v>0.23209767877930898</v>
      </c>
      <c r="V46" s="3">
        <v>82448.459752116294</v>
      </c>
      <c r="W46" s="17">
        <v>6.333333333333333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6.333333333333333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6.333333333333333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87.6</v>
      </c>
      <c r="BA46" s="17">
        <f t="shared" si="7"/>
        <v>26.363280347746354</v>
      </c>
      <c r="BB46" s="4">
        <f t="shared" si="8"/>
        <v>0.30095068890121413</v>
      </c>
      <c r="BC46" s="3">
        <f t="shared" si="10"/>
        <v>80574.631121386381</v>
      </c>
      <c r="BD46" s="7">
        <f t="shared" si="11"/>
        <v>6.333333333333333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P46">
        <f>1065000/100000</f>
        <v>10.65</v>
      </c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F47" s="5"/>
      <c r="G47" s="14">
        <v>12</v>
      </c>
      <c r="H47" s="17">
        <v>10.2751</v>
      </c>
      <c r="I47" s="3">
        <v>2.6676429183629997</v>
      </c>
      <c r="J47" s="4">
        <f t="shared" si="2"/>
        <v>0.25962208819018789</v>
      </c>
      <c r="K47" s="3">
        <v>108677.95830910001</v>
      </c>
      <c r="L47" s="17">
        <v>2.3333333333333335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2.3333333333333335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2.3333333333333335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2.3333333333333335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46.275100000000002</v>
      </c>
      <c r="BA47" s="17">
        <f t="shared" si="7"/>
        <v>13.563034548960896</v>
      </c>
      <c r="BB47" s="4">
        <f t="shared" si="8"/>
        <v>0.29309573720987953</v>
      </c>
      <c r="BC47" s="3">
        <f t="shared" si="10"/>
        <v>116828.80518228252</v>
      </c>
      <c r="BD47" s="7">
        <f t="shared" si="11"/>
        <v>2.3333333333333335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P47">
        <v>0</v>
      </c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24.666666666666668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24.666666666666668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24.666666666666668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24.666666666666668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7">
        <f t="shared" si="11"/>
        <v>24.666666666666668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f>422210/100000</f>
        <v>4.2221000000000002</v>
      </c>
      <c r="BP48">
        <f>5000000/100000</f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19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19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19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19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7">
        <f t="shared" si="11"/>
        <v>19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f>1700000/100000</f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F50" s="5"/>
      <c r="G50" s="14">
        <v>21.75</v>
      </c>
      <c r="H50" s="17">
        <v>21.601290000000002</v>
      </c>
      <c r="I50" s="3">
        <v>17.561290000000003</v>
      </c>
      <c r="J50" s="4">
        <f t="shared" si="2"/>
        <v>0.81297413256337936</v>
      </c>
      <c r="K50" s="3">
        <v>101000</v>
      </c>
      <c r="L50" s="17">
        <v>1.3333333333333333</v>
      </c>
      <c r="M50" s="17"/>
      <c r="N50" s="6"/>
      <c r="O50" s="3"/>
      <c r="P50" s="7">
        <v>7.2004300000000008</v>
      </c>
      <c r="Q50" s="15"/>
      <c r="R50" s="7">
        <v>24.900000000000002</v>
      </c>
      <c r="S50" s="7"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1.3333333333333333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1.3333333333333333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1.3333333333333333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91.951290000000014</v>
      </c>
      <c r="BA50" s="17">
        <f t="shared" si="7"/>
        <v>74.57929</v>
      </c>
      <c r="BB50" s="4">
        <f t="shared" si="8"/>
        <v>0.81107388487970089</v>
      </c>
      <c r="BC50" s="3">
        <f t="shared" si="10"/>
        <v>108575</v>
      </c>
      <c r="BD50" s="7">
        <f t="shared" si="11"/>
        <v>1.3333333333333333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P50">
        <v>0</v>
      </c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6</v>
      </c>
      <c r="M51" s="17"/>
      <c r="N51" s="6"/>
      <c r="O51" s="3"/>
      <c r="P51" s="7">
        <v>0</v>
      </c>
      <c r="Q51" s="15"/>
      <c r="R51" s="7">
        <v>109.5</v>
      </c>
      <c r="S51" s="7">
        <v>109.5</v>
      </c>
      <c r="T51" s="3">
        <v>88.56046918061314</v>
      </c>
      <c r="U51" s="4">
        <f t="shared" si="3"/>
        <v>0.8087714080421291</v>
      </c>
      <c r="V51" s="3">
        <v>116330.72677437146</v>
      </c>
      <c r="W51" s="17">
        <v>6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6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6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388.5</v>
      </c>
      <c r="BA51" s="17">
        <f t="shared" si="7"/>
        <v>306.64547043330589</v>
      </c>
      <c r="BB51" s="4">
        <f t="shared" si="8"/>
        <v>0.78930623020155954</v>
      </c>
      <c r="BC51" s="3">
        <f t="shared" si="10"/>
        <v>113686.84662040847</v>
      </c>
      <c r="BD51" s="7">
        <f t="shared" si="11"/>
        <v>6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P51">
        <v>0</v>
      </c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2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2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2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2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7">
        <f t="shared" si="11"/>
        <v>2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P52">
        <v>0</v>
      </c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1</v>
      </c>
      <c r="T53" s="3">
        <v>1</v>
      </c>
      <c r="U53" s="4">
        <f t="shared" si="3"/>
        <v>1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4</v>
      </c>
      <c r="BA53" s="17">
        <f t="shared" si="7"/>
        <v>4</v>
      </c>
      <c r="BB53" s="4">
        <f t="shared" si="8"/>
        <v>1</v>
      </c>
      <c r="BC53" s="3">
        <f t="shared" si="10"/>
        <v>130703.60833512928</v>
      </c>
      <c r="BD53" s="7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P53">
        <v>0</v>
      </c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7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P54">
        <v>0</v>
      </c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F55" s="5"/>
      <c r="G55" s="14">
        <v>60.514180000000003</v>
      </c>
      <c r="H55" s="17">
        <v>12.75</v>
      </c>
      <c r="I55" s="3">
        <v>-19.727263363801356</v>
      </c>
      <c r="J55" s="4">
        <f t="shared" si="2"/>
        <v>-1.5472363422589299</v>
      </c>
      <c r="K55" s="3">
        <v>50745.724005939614</v>
      </c>
      <c r="L55" s="17">
        <v>21.333333333333332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21.333333333333332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21.333333333333332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21.333333333333332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486.49518</v>
      </c>
      <c r="BA55" s="17">
        <f t="shared" si="7"/>
        <v>346.84294753565422</v>
      </c>
      <c r="BB55" s="4">
        <f t="shared" si="8"/>
        <v>0.7129422074349312</v>
      </c>
      <c r="BC55" s="3">
        <f t="shared" si="10"/>
        <v>54551.65330638508</v>
      </c>
      <c r="BD55" s="7">
        <f t="shared" si="11"/>
        <v>21.333333333333332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P55">
        <v>0</v>
      </c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0.79999999999999993</v>
      </c>
      <c r="M56" s="17"/>
      <c r="N56" s="6"/>
      <c r="O56" s="3"/>
      <c r="P56" s="7">
        <v>0</v>
      </c>
      <c r="Q56" s="15"/>
      <c r="R56" s="7">
        <v>24</v>
      </c>
      <c r="S56" s="7">
        <v>24</v>
      </c>
      <c r="T56" s="3">
        <v>21.333600000000001</v>
      </c>
      <c r="U56" s="4">
        <f t="shared" si="3"/>
        <v>0.88890000000000002</v>
      </c>
      <c r="V56" s="3">
        <v>111100.00000000001</v>
      </c>
      <c r="W56" s="17">
        <v>0.79999999999999993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0.79999999999999993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0.79999999999999993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117.77106000000001</v>
      </c>
      <c r="BA56" s="17">
        <f t="shared" si="7"/>
        <v>107.34786</v>
      </c>
      <c r="BB56" s="4">
        <f t="shared" si="8"/>
        <v>0.91149608401248994</v>
      </c>
      <c r="BC56" s="3">
        <f t="shared" si="10"/>
        <v>108575</v>
      </c>
      <c r="BD56" s="7">
        <f t="shared" si="11"/>
        <v>0.79999999999999993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P56">
        <v>0</v>
      </c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0.33333333333333331</v>
      </c>
      <c r="M57" s="17"/>
      <c r="N57" s="6"/>
      <c r="O57" s="3"/>
      <c r="P57" s="7">
        <v>0</v>
      </c>
      <c r="Q57" s="15"/>
      <c r="R57" s="7">
        <v>64</v>
      </c>
      <c r="S57" s="7">
        <v>64</v>
      </c>
      <c r="T57" s="3">
        <v>59.070056744754275</v>
      </c>
      <c r="U57" s="4">
        <f t="shared" si="3"/>
        <v>0.92296963663678555</v>
      </c>
      <c r="V57" s="3">
        <v>492994.3255245724</v>
      </c>
      <c r="W57" s="17">
        <v>0.33333333333333331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0.33333333333333331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0.33333333333333331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332</v>
      </c>
      <c r="BA57" s="17">
        <f t="shared" si="7"/>
        <v>312.72840363858489</v>
      </c>
      <c r="BB57" s="4">
        <f t="shared" si="8"/>
        <v>0.94195302300778583</v>
      </c>
      <c r="BC57" s="3">
        <f t="shared" si="10"/>
        <v>481789.90903537755</v>
      </c>
      <c r="BD57" s="7">
        <f t="shared" si="11"/>
        <v>0.33333333333333331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P57">
        <v>0</v>
      </c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1.1666666666666667</v>
      </c>
      <c r="M58" s="17"/>
      <c r="N58" s="6"/>
      <c r="O58" s="3"/>
      <c r="P58" s="7">
        <v>0.38095238095238093</v>
      </c>
      <c r="Q58" s="15"/>
      <c r="R58" s="3"/>
      <c r="S58" s="3"/>
      <c r="T58" s="3"/>
      <c r="U58" s="4">
        <f t="shared" si="3"/>
        <v>0</v>
      </c>
      <c r="V58" s="3"/>
      <c r="W58" s="17">
        <v>0</v>
      </c>
      <c r="X58" s="17"/>
      <c r="Y58" s="17"/>
      <c r="Z58" s="3"/>
      <c r="AA58" s="7">
        <v>0</v>
      </c>
      <c r="AC58" s="3"/>
      <c r="AD58" s="3"/>
      <c r="AE58" s="3"/>
      <c r="AF58" s="4"/>
      <c r="AG58" s="3"/>
      <c r="AH58" s="17">
        <v>0</v>
      </c>
      <c r="AI58" s="17"/>
      <c r="AJ58" s="17"/>
      <c r="AK58" s="3"/>
      <c r="AL58" s="7">
        <v>0</v>
      </c>
      <c r="AN58" s="8"/>
      <c r="AO58" s="8"/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4</v>
      </c>
      <c r="BA58" s="17">
        <f t="shared" si="7"/>
        <v>0.85000000000000009</v>
      </c>
      <c r="BB58" s="4">
        <f t="shared" si="8"/>
        <v>0.21250000000000002</v>
      </c>
      <c r="BC58" s="3">
        <f t="shared" si="10"/>
        <v>94500</v>
      </c>
      <c r="BD58" s="7">
        <f t="shared" si="11"/>
        <v>0.29166666666666669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P58">
        <v>0</v>
      </c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0.56666666666666665</v>
      </c>
      <c r="M59" s="17"/>
      <c r="N59" s="6"/>
      <c r="O59" s="3"/>
      <c r="P59" s="7">
        <v>1.2500000000000002</v>
      </c>
      <c r="Q59" s="15"/>
      <c r="R59" s="3"/>
      <c r="S59" s="3"/>
      <c r="T59" s="3"/>
      <c r="U59" s="4">
        <f t="shared" si="3"/>
        <v>0</v>
      </c>
      <c r="V59" s="3"/>
      <c r="W59" s="17">
        <v>0</v>
      </c>
      <c r="X59" s="17"/>
      <c r="Y59" s="17"/>
      <c r="Z59" s="3"/>
      <c r="AA59" s="7">
        <v>0</v>
      </c>
      <c r="AC59" s="3"/>
      <c r="AD59" s="3"/>
      <c r="AE59" s="3"/>
      <c r="AF59" s="4"/>
      <c r="AG59" s="3"/>
      <c r="AH59" s="17">
        <v>0</v>
      </c>
      <c r="AI59" s="17"/>
      <c r="AJ59" s="17"/>
      <c r="AK59" s="3"/>
      <c r="AL59" s="7">
        <v>0</v>
      </c>
      <c r="AN59" s="8"/>
      <c r="AO59" s="8"/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5.25</v>
      </c>
      <c r="BA59" s="17">
        <f t="shared" si="7"/>
        <v>3.7199999999999998</v>
      </c>
      <c r="BB59" s="4">
        <f t="shared" si="8"/>
        <v>0.70857142857142852</v>
      </c>
      <c r="BC59" s="3">
        <f t="shared" si="10"/>
        <v>94500</v>
      </c>
      <c r="BD59" s="7">
        <f t="shared" si="11"/>
        <v>0.14166666666666666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f>175000/100000</f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23">
        <v>217</v>
      </c>
      <c r="H60" s="24">
        <v>0</v>
      </c>
      <c r="I60" s="16">
        <v>0</v>
      </c>
      <c r="J60" s="25">
        <f t="shared" si="2"/>
        <v>0</v>
      </c>
      <c r="K60" s="16">
        <v>0</v>
      </c>
      <c r="L60" s="24">
        <v>0</v>
      </c>
      <c r="M60" s="17"/>
      <c r="X60" s="17"/>
      <c r="AH60">
        <v>0</v>
      </c>
      <c r="AI60" s="17"/>
      <c r="AY60" s="17">
        <f t="shared" si="5"/>
        <v>217</v>
      </c>
      <c r="AZ60" s="17">
        <f t="shared" si="6"/>
        <v>0</v>
      </c>
      <c r="BA60" s="18"/>
      <c r="BB60" s="22"/>
      <c r="BD60" s="18"/>
      <c r="BH60" s="7"/>
    </row>
    <row r="61" spans="1:78" x14ac:dyDescent="0.35">
      <c r="A61" s="16" t="s">
        <v>121</v>
      </c>
      <c r="B61" s="16" t="s">
        <v>122</v>
      </c>
      <c r="C61" s="16" t="s">
        <v>122</v>
      </c>
      <c r="D61" s="26" t="s">
        <v>118</v>
      </c>
      <c r="E61" s="16" t="s">
        <v>122</v>
      </c>
      <c r="G61" s="18"/>
      <c r="H61" s="27">
        <v>25</v>
      </c>
      <c r="I61" s="27">
        <v>18.829519600000001</v>
      </c>
      <c r="J61" s="25">
        <f>(H61-I61)/H61</f>
        <v>0.24681921599999995</v>
      </c>
      <c r="K61">
        <v>117684.4975</v>
      </c>
      <c r="L61" s="24">
        <v>5.2</v>
      </c>
      <c r="R61" s="18"/>
      <c r="S61" s="18"/>
      <c r="T61" s="18"/>
      <c r="AD61" s="18"/>
      <c r="AE61" s="18"/>
      <c r="AO61" s="18"/>
      <c r="AZ61" s="17">
        <f t="shared" si="6"/>
        <v>25</v>
      </c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C45BD-D7D2-468B-B2BF-48180A39FC65}">
  <dimension ref="A1:O61"/>
  <sheetViews>
    <sheetView workbookViewId="0">
      <selection activeCell="K3" sqref="K3"/>
    </sheetView>
  </sheetViews>
  <sheetFormatPr defaultRowHeight="14.5" x14ac:dyDescent="0.35"/>
  <cols>
    <col min="1" max="1" width="25.26953125" bestFit="1" customWidth="1"/>
    <col min="4" max="4" width="13.54296875" bestFit="1" customWidth="1"/>
    <col min="6" max="6" width="3.36328125" customWidth="1"/>
    <col min="7" max="7" width="9.36328125" bestFit="1" customWidth="1"/>
    <col min="8" max="8" width="11.453125" bestFit="1" customWidth="1"/>
    <col min="13" max="13" width="9.90625" bestFit="1" customWidth="1"/>
    <col min="14" max="14" width="19.7265625" bestFit="1" customWidth="1"/>
  </cols>
  <sheetData>
    <row r="1" spans="1:15" x14ac:dyDescent="0.35">
      <c r="G1" s="28" t="s">
        <v>123</v>
      </c>
      <c r="H1" s="28"/>
      <c r="I1" s="28"/>
      <c r="J1" s="28"/>
      <c r="K1" s="28"/>
      <c r="L1" s="28"/>
      <c r="M1" s="28"/>
      <c r="N1" s="28"/>
      <c r="O1" s="28"/>
    </row>
    <row r="2" spans="1:15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G2" s="1" t="s">
        <v>124</v>
      </c>
      <c r="H2" s="1" t="s">
        <v>26</v>
      </c>
      <c r="I2" s="1" t="s">
        <v>25</v>
      </c>
      <c r="J2" s="1" t="s">
        <v>27</v>
      </c>
      <c r="K2" s="1" t="s">
        <v>68</v>
      </c>
      <c r="L2" s="1" t="s">
        <v>113</v>
      </c>
      <c r="M2" s="1" t="s">
        <v>112</v>
      </c>
      <c r="N2" s="1" t="s">
        <v>34</v>
      </c>
      <c r="O2" s="1" t="s">
        <v>28</v>
      </c>
    </row>
    <row r="3" spans="1:15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G3" s="17">
        <v>120</v>
      </c>
      <c r="H3" s="7">
        <v>96.630983659997625</v>
      </c>
      <c r="I3" s="4">
        <f>IFERROR(H3/G3,0)</f>
        <v>0.80525819716664693</v>
      </c>
      <c r="J3" s="17">
        <v>107620.37733721343</v>
      </c>
      <c r="K3" s="17">
        <v>57.333333333333336</v>
      </c>
      <c r="L3" s="8"/>
      <c r="M3" s="8"/>
      <c r="N3" s="8"/>
      <c r="O3" s="8"/>
    </row>
    <row r="4" spans="1:15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G4" s="17">
        <v>2.2562000000000002</v>
      </c>
      <c r="H4" s="7">
        <v>-0.17604378797486162</v>
      </c>
      <c r="I4" s="4">
        <f t="shared" ref="I4:I61" si="0">IFERROR(H4/G4,0)</f>
        <v>-7.8026676701915432E-2</v>
      </c>
      <c r="J4" s="17">
        <v>173405.52273207638</v>
      </c>
      <c r="K4" s="17">
        <v>2</v>
      </c>
      <c r="L4" s="8"/>
      <c r="M4" s="8"/>
      <c r="N4" s="8"/>
      <c r="O4" s="8"/>
    </row>
    <row r="5" spans="1:15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G5" s="17">
        <v>9.3010766</v>
      </c>
      <c r="H5" s="7">
        <v>3.561191132154701</v>
      </c>
      <c r="I5" s="4">
        <f t="shared" si="0"/>
        <v>0.3828794542079893</v>
      </c>
      <c r="J5" s="17">
        <v>100967.52669613245</v>
      </c>
      <c r="K5" s="17">
        <v>4</v>
      </c>
      <c r="L5" s="8"/>
      <c r="M5" s="8"/>
      <c r="N5" s="8"/>
      <c r="O5" s="8"/>
    </row>
    <row r="6" spans="1:15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G6" s="17">
        <v>26.5</v>
      </c>
      <c r="H6" s="7">
        <v>-3.5042859329899017</v>
      </c>
      <c r="I6" s="4">
        <f t="shared" si="0"/>
        <v>-0.13223720501848685</v>
      </c>
      <c r="J6" s="17">
        <v>110580.54850844618</v>
      </c>
      <c r="K6" s="17">
        <v>15.666666666666666</v>
      </c>
      <c r="L6" s="8"/>
      <c r="M6" s="8"/>
      <c r="N6" s="8"/>
      <c r="O6" s="8"/>
    </row>
    <row r="7" spans="1:15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G7" s="17">
        <v>6.1185</v>
      </c>
      <c r="H7" s="7">
        <v>0.29414927678181019</v>
      </c>
      <c r="I7" s="4">
        <f t="shared" si="0"/>
        <v>4.8075390501235625E-2</v>
      </c>
      <c r="J7" s="17">
        <v>101311.4009425254</v>
      </c>
      <c r="K7" s="17">
        <v>6</v>
      </c>
      <c r="L7" s="8"/>
      <c r="M7" s="8"/>
      <c r="N7" s="8"/>
      <c r="O7" s="8"/>
    </row>
    <row r="8" spans="1:15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G8" s="17">
        <v>13.0525</v>
      </c>
      <c r="H8" s="7">
        <v>1.4691666666666663</v>
      </c>
      <c r="I8" s="4">
        <f t="shared" si="0"/>
        <v>0.112558258315776</v>
      </c>
      <c r="J8" s="17">
        <v>101000</v>
      </c>
      <c r="K8" s="17">
        <v>8.1666666666666661</v>
      </c>
      <c r="L8" s="8"/>
      <c r="M8" s="8"/>
      <c r="N8" s="8"/>
      <c r="O8" s="8"/>
    </row>
    <row r="9" spans="1:15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G9" s="17">
        <v>6.83</v>
      </c>
      <c r="H9" s="7">
        <v>-0.19260178039615519</v>
      </c>
      <c r="I9" s="4">
        <f t="shared" si="0"/>
        <v>-2.8199382195630337E-2</v>
      </c>
      <c r="J9" s="17">
        <v>80180.641691213954</v>
      </c>
      <c r="K9" s="17">
        <v>10.666666666666666</v>
      </c>
      <c r="L9" s="8"/>
      <c r="M9" s="8"/>
      <c r="N9" s="8"/>
      <c r="O9" s="8"/>
    </row>
    <row r="10" spans="1:15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G10" s="17">
        <v>2.7279200000000001</v>
      </c>
      <c r="H10" s="7">
        <v>1.1487128559241577</v>
      </c>
      <c r="I10" s="4">
        <f t="shared" si="0"/>
        <v>0.42109477401249218</v>
      </c>
      <c r="J10" s="17">
        <v>105409.9872037921</v>
      </c>
      <c r="K10" s="17">
        <v>2</v>
      </c>
      <c r="L10" s="8"/>
      <c r="M10" s="8"/>
      <c r="N10" s="8"/>
      <c r="O10" s="8"/>
    </row>
    <row r="11" spans="1:15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G11" s="17">
        <v>12.79</v>
      </c>
      <c r="H11" s="7">
        <v>5.5607583716918079</v>
      </c>
      <c r="I11" s="4">
        <f t="shared" si="0"/>
        <v>0.4347739149094455</v>
      </c>
      <c r="J11" s="17">
        <v>92529.711095863735</v>
      </c>
      <c r="K11" s="17">
        <v>8.6666666666666661</v>
      </c>
      <c r="L11" s="8"/>
      <c r="M11" s="8"/>
      <c r="N11" s="8"/>
      <c r="O11" s="8"/>
    </row>
    <row r="12" spans="1:15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G12" s="17">
        <v>181.56917999999999</v>
      </c>
      <c r="H12" s="7">
        <v>60.485020524784211</v>
      </c>
      <c r="I12" s="4">
        <f t="shared" si="0"/>
        <v>0.33312382930178025</v>
      </c>
      <c r="J12" s="17">
        <v>139210.95651634005</v>
      </c>
      <c r="K12" s="17">
        <v>56.4</v>
      </c>
      <c r="L12" s="8"/>
      <c r="M12" s="8"/>
      <c r="N12" s="8"/>
      <c r="O12" s="8"/>
    </row>
    <row r="13" spans="1:15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G13" s="17">
        <v>3.7850000000000001</v>
      </c>
      <c r="H13" s="7">
        <v>1.8593369920277556</v>
      </c>
      <c r="I13" s="4">
        <f t="shared" si="0"/>
        <v>0.49123830700865406</v>
      </c>
      <c r="J13" s="17">
        <v>127874.84755439906</v>
      </c>
      <c r="K13" s="17">
        <v>2.4</v>
      </c>
      <c r="L13" s="8"/>
      <c r="M13" s="8"/>
      <c r="N13" s="8"/>
      <c r="O13" s="8"/>
    </row>
    <row r="14" spans="1:15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G14" s="17">
        <v>0.9</v>
      </c>
      <c r="H14" s="7">
        <v>-0.91500000000000004</v>
      </c>
      <c r="I14" s="4">
        <f t="shared" si="0"/>
        <v>-1.0166666666666666</v>
      </c>
      <c r="J14" s="17">
        <v>90000</v>
      </c>
      <c r="K14" s="17">
        <v>1.3499999999999999</v>
      </c>
      <c r="L14" s="8"/>
      <c r="M14" s="8"/>
      <c r="N14" s="8"/>
      <c r="O14" s="8"/>
    </row>
    <row r="15" spans="1:15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G15" s="17">
        <v>0</v>
      </c>
      <c r="H15" s="7">
        <v>0</v>
      </c>
      <c r="I15" s="4">
        <f t="shared" si="0"/>
        <v>0</v>
      </c>
      <c r="J15" s="17">
        <v>0</v>
      </c>
      <c r="K15" s="17">
        <v>0</v>
      </c>
      <c r="L15" s="8"/>
      <c r="M15" s="8"/>
      <c r="N15" s="8"/>
      <c r="O15" s="8"/>
    </row>
    <row r="16" spans="1:15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G16" s="17">
        <v>4.5916899999999998</v>
      </c>
      <c r="H16" s="7">
        <v>1.4324625273205285</v>
      </c>
      <c r="I16" s="4">
        <f t="shared" si="0"/>
        <v>0.31196847507574088</v>
      </c>
      <c r="J16" s="17">
        <v>84493.658345803764</v>
      </c>
      <c r="K16" s="17">
        <v>3.6666666666666665</v>
      </c>
      <c r="L16" s="8"/>
      <c r="M16" s="8"/>
      <c r="N16" s="8"/>
      <c r="O16" s="8"/>
    </row>
    <row r="17" spans="1:15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G17" s="17">
        <v>119.60778230000001</v>
      </c>
      <c r="H17" s="7">
        <v>45.798046329112786</v>
      </c>
      <c r="I17" s="4">
        <f t="shared" si="0"/>
        <v>0.38290189357614052</v>
      </c>
      <c r="J17" s="17">
        <v>93889.935253165968</v>
      </c>
      <c r="K17" s="17">
        <v>80.666666666666671</v>
      </c>
      <c r="L17" s="8"/>
      <c r="M17" s="8"/>
      <c r="N17" s="8"/>
      <c r="O17" s="8"/>
    </row>
    <row r="18" spans="1:15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G18" s="17">
        <v>6.1910834999999995</v>
      </c>
      <c r="H18" s="7">
        <v>12.332741667468573</v>
      </c>
      <c r="I18" s="4">
        <f t="shared" si="0"/>
        <v>1.9920166910151631</v>
      </c>
      <c r="J18" s="17">
        <v>130642.86165864758</v>
      </c>
      <c r="K18" s="17">
        <v>10</v>
      </c>
      <c r="L18" s="8"/>
      <c r="M18" s="8"/>
      <c r="N18" s="8"/>
      <c r="O18" s="8"/>
    </row>
    <row r="19" spans="1:15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G19" s="17">
        <v>39.987499999999997</v>
      </c>
      <c r="H19" s="7">
        <v>16.605902462209162</v>
      </c>
      <c r="I19" s="4">
        <f t="shared" si="0"/>
        <v>0.41527733572264242</v>
      </c>
      <c r="J19" s="17">
        <v>98824.569981892113</v>
      </c>
      <c r="K19" s="17">
        <v>12.199999999999998</v>
      </c>
      <c r="L19" s="8"/>
      <c r="M19" s="8"/>
      <c r="N19" s="8"/>
      <c r="O19" s="8"/>
    </row>
    <row r="20" spans="1:15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G20" s="17">
        <v>6.9908000000000001</v>
      </c>
      <c r="H20" s="7">
        <v>4.9588260938679767</v>
      </c>
      <c r="I20" s="4">
        <f t="shared" si="0"/>
        <v>0.70933599786404655</v>
      </c>
      <c r="J20" s="17">
        <v>87648.628603046702</v>
      </c>
      <c r="K20" s="17">
        <v>4.333333333333333</v>
      </c>
      <c r="L20" s="8"/>
      <c r="M20" s="8"/>
      <c r="N20" s="8"/>
      <c r="O20" s="8"/>
    </row>
    <row r="21" spans="1:15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G21" s="17">
        <v>26.27983</v>
      </c>
      <c r="H21" s="7">
        <v>3.5382942375971473</v>
      </c>
      <c r="I21" s="4">
        <f t="shared" si="0"/>
        <v>0.13463916005534082</v>
      </c>
      <c r="J21" s="17">
        <v>92605.584307238096</v>
      </c>
      <c r="K21" s="17">
        <v>35.5</v>
      </c>
      <c r="L21" s="8"/>
      <c r="M21" s="8"/>
      <c r="N21" s="8"/>
      <c r="O21" s="8"/>
    </row>
    <row r="22" spans="1:15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G22" s="17">
        <v>0.1</v>
      </c>
      <c r="H22" s="7">
        <v>0.8944301000144349</v>
      </c>
      <c r="I22" s="4">
        <f t="shared" si="0"/>
        <v>8.9443010001443479</v>
      </c>
      <c r="J22" s="17">
        <v>103085.48499783476</v>
      </c>
      <c r="K22" s="17">
        <v>0.66666666666666663</v>
      </c>
      <c r="L22" s="8"/>
      <c r="M22" s="8"/>
      <c r="N22" s="8"/>
      <c r="O22" s="8"/>
    </row>
    <row r="23" spans="1:15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G23" s="17">
        <v>0.68445</v>
      </c>
      <c r="H23" s="7">
        <v>-0.20664055542154255</v>
      </c>
      <c r="I23" s="4">
        <f t="shared" si="0"/>
        <v>-0.30190745185410556</v>
      </c>
      <c r="J23" s="17">
        <v>110145.72220882092</v>
      </c>
      <c r="K23" s="17">
        <v>1</v>
      </c>
      <c r="L23" s="8"/>
      <c r="M23" s="8"/>
      <c r="N23" s="8"/>
      <c r="O23" s="8"/>
    </row>
    <row r="24" spans="1:15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G24" s="17">
        <v>1.6505700000000001</v>
      </c>
      <c r="H24" s="7">
        <v>-0.80506115618567142</v>
      </c>
      <c r="I24" s="4">
        <f t="shared" si="0"/>
        <v>-0.48774735769199207</v>
      </c>
      <c r="J24" s="17">
        <v>100838.35645704676</v>
      </c>
      <c r="K24" s="17">
        <v>5</v>
      </c>
      <c r="L24" s="8"/>
      <c r="M24" s="8"/>
      <c r="N24" s="8"/>
      <c r="O24" s="8"/>
    </row>
    <row r="25" spans="1:15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G25" s="17">
        <v>10.015700000000001</v>
      </c>
      <c r="H25" s="7">
        <v>4.84458093899734</v>
      </c>
      <c r="I25" s="4">
        <f t="shared" si="0"/>
        <v>0.48369868696120488</v>
      </c>
      <c r="J25" s="17">
        <v>99879.714553386511</v>
      </c>
      <c r="K25" s="17">
        <v>5</v>
      </c>
      <c r="L25" s="8"/>
      <c r="M25" s="8"/>
      <c r="N25" s="8"/>
      <c r="O25" s="8"/>
    </row>
    <row r="26" spans="1:15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G26" s="17">
        <v>24.223479999999999</v>
      </c>
      <c r="H26" s="7">
        <v>-5.7914111873014162</v>
      </c>
      <c r="I26" s="4">
        <f t="shared" si="0"/>
        <v>-0.23908254252904276</v>
      </c>
      <c r="J26" s="17">
        <v>117138.77421768615</v>
      </c>
      <c r="K26" s="17">
        <v>18.666666666666668</v>
      </c>
      <c r="L26" s="8"/>
      <c r="M26" s="8"/>
      <c r="N26" s="8"/>
      <c r="O26" s="8"/>
    </row>
    <row r="27" spans="1:15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G27" s="17">
        <v>0</v>
      </c>
      <c r="H27" s="7">
        <v>-0.43439174266359831</v>
      </c>
      <c r="I27" s="4">
        <f t="shared" si="0"/>
        <v>0</v>
      </c>
      <c r="J27" s="17">
        <v>130317.5227990795</v>
      </c>
      <c r="K27" s="17">
        <v>0.33333333333333331</v>
      </c>
      <c r="L27" s="8"/>
      <c r="M27" s="8"/>
      <c r="N27" s="8"/>
      <c r="O27" s="8"/>
    </row>
    <row r="28" spans="1:15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G28" s="17">
        <v>10.29</v>
      </c>
      <c r="H28" s="7">
        <v>-7.6009084794700739E-3</v>
      </c>
      <c r="I28" s="4">
        <f t="shared" si="0"/>
        <v>-7.3866943435083325E-4</v>
      </c>
      <c r="J28" s="17">
        <v>83282.006813596032</v>
      </c>
      <c r="K28" s="17">
        <v>13.333333333333334</v>
      </c>
      <c r="L28" s="8"/>
      <c r="M28" s="8"/>
      <c r="N28" s="8"/>
      <c r="O28" s="8"/>
    </row>
    <row r="29" spans="1:15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G29" s="17">
        <v>5.4947099999999995</v>
      </c>
      <c r="H29" s="7">
        <v>-0.1393034954768749</v>
      </c>
      <c r="I29" s="4">
        <f t="shared" si="0"/>
        <v>-2.5352292564461986E-2</v>
      </c>
      <c r="J29" s="17">
        <v>91755.335649669636</v>
      </c>
      <c r="K29" s="17">
        <v>7</v>
      </c>
      <c r="L29" s="8"/>
      <c r="M29" s="8"/>
      <c r="N29" s="8"/>
      <c r="O29" s="8"/>
    </row>
    <row r="30" spans="1:15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G30" s="17">
        <v>0</v>
      </c>
      <c r="H30" s="7">
        <v>0.6</v>
      </c>
      <c r="I30" s="4">
        <f t="shared" si="0"/>
        <v>0</v>
      </c>
      <c r="J30" s="17">
        <v>110000</v>
      </c>
      <c r="K30" s="17">
        <v>0</v>
      </c>
      <c r="L30" s="8"/>
      <c r="M30" s="8"/>
      <c r="N30" s="8"/>
      <c r="O30" s="8"/>
    </row>
    <row r="31" spans="1:15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G31" s="17">
        <v>26.5</v>
      </c>
      <c r="H31" s="7">
        <v>-2.604686874742915</v>
      </c>
      <c r="I31" s="4">
        <f t="shared" si="0"/>
        <v>-9.8290070745015667E-2</v>
      </c>
      <c r="J31" s="17">
        <v>92547.060993046674</v>
      </c>
      <c r="K31" s="17">
        <v>27.666666666666668</v>
      </c>
      <c r="L31" s="8"/>
      <c r="M31" s="8"/>
      <c r="N31" s="8"/>
      <c r="O31" s="8"/>
    </row>
    <row r="32" spans="1:15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G32" s="17">
        <v>30.8</v>
      </c>
      <c r="H32" s="7">
        <v>14.827293382532636</v>
      </c>
      <c r="I32" s="4">
        <f t="shared" si="0"/>
        <v>0.48140562930300762</v>
      </c>
      <c r="J32" s="17">
        <v>87949.115935818816</v>
      </c>
      <c r="K32" s="17">
        <v>14.333333333333334</v>
      </c>
      <c r="L32" s="8"/>
      <c r="M32" s="8"/>
      <c r="N32" s="8"/>
      <c r="O32" s="8"/>
    </row>
    <row r="33" spans="1:15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G33" s="17">
        <v>0</v>
      </c>
      <c r="H33" s="7">
        <v>-1.2224075445787013</v>
      </c>
      <c r="I33" s="4">
        <f t="shared" si="0"/>
        <v>0</v>
      </c>
      <c r="J33" s="17">
        <v>122240.75445787013</v>
      </c>
      <c r="K33" s="17">
        <v>1</v>
      </c>
      <c r="L33" s="8"/>
      <c r="M33" s="8"/>
      <c r="N33" s="8"/>
      <c r="O33" s="8"/>
    </row>
    <row r="34" spans="1:15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G34" s="17">
        <v>0</v>
      </c>
      <c r="H34" s="7">
        <v>0</v>
      </c>
      <c r="I34" s="4">
        <f t="shared" si="0"/>
        <v>0</v>
      </c>
      <c r="J34" s="17">
        <v>0</v>
      </c>
      <c r="K34" s="17">
        <v>0</v>
      </c>
      <c r="L34" s="8"/>
      <c r="M34" s="8"/>
      <c r="N34" s="8"/>
      <c r="O34" s="8"/>
    </row>
    <row r="35" spans="1:15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G35" s="17">
        <v>3.81</v>
      </c>
      <c r="H35" s="7">
        <v>0.33530240421176227</v>
      </c>
      <c r="I35" s="4">
        <f t="shared" si="0"/>
        <v>8.8005880370541273E-2</v>
      </c>
      <c r="J35" s="17">
        <v>95201.325533781623</v>
      </c>
      <c r="K35" s="17">
        <v>2.3333333333333335</v>
      </c>
      <c r="L35" s="8"/>
      <c r="M35" s="8"/>
      <c r="N35" s="8"/>
      <c r="O35" s="8"/>
    </row>
    <row r="36" spans="1:15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G36" s="17">
        <v>3.6067749999999998</v>
      </c>
      <c r="H36" s="7">
        <v>2.1636641240935273</v>
      </c>
      <c r="I36" s="4">
        <f t="shared" si="0"/>
        <v>0.59988885475071974</v>
      </c>
      <c r="J36" s="17">
        <v>82348.641423246372</v>
      </c>
      <c r="K36" s="17">
        <v>5.333333333333333</v>
      </c>
      <c r="L36" s="8"/>
      <c r="M36" s="8"/>
      <c r="N36" s="8"/>
      <c r="O36" s="8"/>
    </row>
    <row r="37" spans="1:15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G37" s="17">
        <v>37.19</v>
      </c>
      <c r="H37" s="7">
        <v>-10.621458196587033</v>
      </c>
      <c r="I37" s="4">
        <f t="shared" si="0"/>
        <v>-0.28559984395232679</v>
      </c>
      <c r="J37" s="17">
        <v>94388.83163095171</v>
      </c>
      <c r="K37" s="17">
        <v>40.666666666666664</v>
      </c>
      <c r="L37" s="8"/>
      <c r="M37" s="8"/>
      <c r="N37" s="8"/>
      <c r="O37" s="8"/>
    </row>
    <row r="38" spans="1:15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G38" s="17">
        <v>12</v>
      </c>
      <c r="H38" s="7">
        <v>6.3943992616107979</v>
      </c>
      <c r="I38" s="4">
        <f t="shared" si="0"/>
        <v>0.53286660513423312</v>
      </c>
      <c r="J38" s="17">
        <v>100619.43490047885</v>
      </c>
      <c r="K38" s="17">
        <v>11.666666666666666</v>
      </c>
      <c r="L38" s="8"/>
      <c r="M38" s="8"/>
      <c r="N38" s="8"/>
      <c r="O38" s="8"/>
    </row>
    <row r="39" spans="1:15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G39" s="17">
        <v>4.83</v>
      </c>
      <c r="H39" s="7">
        <v>2.4016443555995544</v>
      </c>
      <c r="I39" s="4">
        <f t="shared" si="0"/>
        <v>0.49723485623179181</v>
      </c>
      <c r="J39" s="17">
        <v>93473.032591125986</v>
      </c>
      <c r="K39" s="17">
        <v>3</v>
      </c>
      <c r="L39" s="8"/>
      <c r="M39" s="8"/>
      <c r="N39" s="8"/>
      <c r="O39" s="8"/>
    </row>
    <row r="40" spans="1:15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G40" s="17">
        <v>3.5616104000000002</v>
      </c>
      <c r="H40" s="7">
        <v>3.0382940431250547</v>
      </c>
      <c r="I40" s="4">
        <f t="shared" si="0"/>
        <v>0.85306748967406842</v>
      </c>
      <c r="J40" s="17">
        <v>102889.40225520697</v>
      </c>
      <c r="K40" s="17">
        <v>4</v>
      </c>
      <c r="L40" s="8"/>
      <c r="M40" s="8"/>
      <c r="N40" s="8"/>
      <c r="O40" s="8"/>
    </row>
    <row r="41" spans="1:15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G41" s="17">
        <v>0</v>
      </c>
      <c r="H41" s="7">
        <v>0</v>
      </c>
      <c r="I41" s="4">
        <f t="shared" si="0"/>
        <v>0</v>
      </c>
      <c r="J41" s="17">
        <v>0</v>
      </c>
      <c r="K41" s="17">
        <v>0</v>
      </c>
      <c r="L41" s="8"/>
      <c r="M41" s="8"/>
      <c r="N41" s="8"/>
      <c r="O41" s="8"/>
    </row>
    <row r="42" spans="1:15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G42" s="17">
        <v>10.17</v>
      </c>
      <c r="H42" s="7">
        <v>3.984591770590749</v>
      </c>
      <c r="I42" s="4">
        <f t="shared" si="0"/>
        <v>0.39179860084471474</v>
      </c>
      <c r="J42" s="17">
        <v>109174.83125485166</v>
      </c>
      <c r="K42" s="17">
        <v>5</v>
      </c>
      <c r="L42" s="8"/>
      <c r="M42" s="8"/>
      <c r="N42" s="8"/>
      <c r="O42" s="8"/>
    </row>
    <row r="43" spans="1:15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G43" s="17">
        <v>0</v>
      </c>
      <c r="H43" s="7">
        <v>3.3333333333333326E-2</v>
      </c>
      <c r="I43" s="4">
        <f t="shared" si="0"/>
        <v>0</v>
      </c>
      <c r="J43" s="17">
        <v>90000</v>
      </c>
      <c r="K43" s="17">
        <v>0.33333333333333331</v>
      </c>
      <c r="L43" s="8"/>
      <c r="M43" s="8"/>
      <c r="N43" s="8"/>
      <c r="O43" s="8"/>
    </row>
    <row r="44" spans="1:15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G44" s="17">
        <v>2.90625</v>
      </c>
      <c r="H44" s="7">
        <v>1.4333848089524714</v>
      </c>
      <c r="I44" s="4">
        <f t="shared" si="0"/>
        <v>0.49320767619869987</v>
      </c>
      <c r="J44" s="17">
        <v>112725.33024016366</v>
      </c>
      <c r="K44" s="17">
        <v>4.6000000000000005</v>
      </c>
      <c r="L44" s="8"/>
      <c r="M44" s="8"/>
      <c r="N44" s="8"/>
      <c r="O44" s="8"/>
    </row>
    <row r="45" spans="1:15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G45" s="17">
        <v>7.97</v>
      </c>
      <c r="H45" s="7">
        <v>4.0882134700977213</v>
      </c>
      <c r="I45" s="4">
        <f t="shared" si="0"/>
        <v>0.51295024718917459</v>
      </c>
      <c r="J45" s="17">
        <v>115651.32991422365</v>
      </c>
      <c r="K45" s="17">
        <v>4</v>
      </c>
      <c r="L45" s="8"/>
      <c r="M45" s="8"/>
      <c r="N45" s="8"/>
      <c r="O45" s="8"/>
    </row>
    <row r="46" spans="1:15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G46" s="17">
        <v>10.65</v>
      </c>
      <c r="H46" s="7">
        <v>3.7363008021508812</v>
      </c>
      <c r="I46" s="4">
        <f t="shared" si="0"/>
        <v>0.35082636639914377</v>
      </c>
      <c r="J46" s="17">
        <v>74953.145229196627</v>
      </c>
      <c r="K46" s="17">
        <v>6.333333333333333</v>
      </c>
      <c r="L46" s="8"/>
      <c r="M46" s="8"/>
      <c r="N46" s="8"/>
      <c r="O46" s="8"/>
    </row>
    <row r="47" spans="1:15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G47" s="17">
        <v>6.5951000000000004</v>
      </c>
      <c r="H47" s="7">
        <v>0.88921430612099994</v>
      </c>
      <c r="I47" s="4">
        <f t="shared" si="0"/>
        <v>0.13482954104122757</v>
      </c>
      <c r="J47" s="17">
        <v>108677.95830910001</v>
      </c>
      <c r="K47" s="17">
        <v>2.3333333333333335</v>
      </c>
      <c r="L47" s="8"/>
      <c r="M47" s="8"/>
      <c r="N47" s="8"/>
      <c r="O47" s="8"/>
    </row>
    <row r="48" spans="1:15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G48" s="17">
        <v>65.400000000000006</v>
      </c>
      <c r="H48" s="7">
        <v>26.472517639262765</v>
      </c>
      <c r="I48" s="4">
        <f t="shared" si="0"/>
        <v>0.40477855717527161</v>
      </c>
      <c r="J48" s="17">
        <v>104841.14470569149</v>
      </c>
      <c r="K48" s="17">
        <v>24.666666666666668</v>
      </c>
      <c r="L48" s="8"/>
      <c r="M48" s="8"/>
      <c r="N48" s="8"/>
      <c r="O48" s="8"/>
    </row>
    <row r="49" spans="1:15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G49" s="17">
        <v>17</v>
      </c>
      <c r="H49" s="7">
        <v>4.8099999999999996</v>
      </c>
      <c r="I49" s="4">
        <f t="shared" si="0"/>
        <v>0.2829411764705882</v>
      </c>
      <c r="J49" s="17">
        <v>101000</v>
      </c>
      <c r="K49" s="17">
        <v>19</v>
      </c>
      <c r="L49" s="8"/>
      <c r="M49" s="8"/>
      <c r="N49" s="8"/>
      <c r="O49" s="8"/>
    </row>
    <row r="50" spans="1:15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G50" s="17">
        <v>7.9112900000000002</v>
      </c>
      <c r="H50" s="7">
        <v>5.8537633333333341</v>
      </c>
      <c r="I50" s="4">
        <f t="shared" si="0"/>
        <v>0.73992526292593674</v>
      </c>
      <c r="J50" s="17">
        <v>101000</v>
      </c>
      <c r="K50" s="17">
        <v>1.3333333333333333</v>
      </c>
      <c r="L50" s="8"/>
      <c r="M50" s="8"/>
      <c r="N50" s="8"/>
      <c r="O50" s="8"/>
    </row>
    <row r="51" spans="1:15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G51" s="17">
        <v>0</v>
      </c>
      <c r="H51" s="7">
        <v>-6.3453123695111699</v>
      </c>
      <c r="I51" s="4">
        <f t="shared" si="0"/>
        <v>0</v>
      </c>
      <c r="J51" s="17">
        <v>105755.2061585195</v>
      </c>
      <c r="K51" s="17">
        <v>6</v>
      </c>
      <c r="L51" s="8"/>
      <c r="M51" s="8"/>
      <c r="N51" s="8"/>
      <c r="O51" s="8"/>
    </row>
    <row r="52" spans="1:15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G52" s="17">
        <v>1</v>
      </c>
      <c r="H52" s="7">
        <v>-0.7882832298375444</v>
      </c>
      <c r="I52" s="4">
        <f t="shared" si="0"/>
        <v>-0.7882832298375444</v>
      </c>
      <c r="J52" s="17">
        <v>139414.16149187722</v>
      </c>
      <c r="K52" s="17">
        <v>2</v>
      </c>
      <c r="L52" s="8"/>
      <c r="M52" s="8"/>
      <c r="N52" s="8"/>
      <c r="O52" s="8"/>
    </row>
    <row r="53" spans="1:15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G53" s="17">
        <v>0</v>
      </c>
      <c r="H53" s="7">
        <v>0</v>
      </c>
      <c r="I53" s="4">
        <f t="shared" si="0"/>
        <v>0</v>
      </c>
      <c r="J53" s="17">
        <v>121584.75193965515</v>
      </c>
      <c r="K53" s="17">
        <v>0</v>
      </c>
      <c r="L53" s="8"/>
      <c r="M53" s="8"/>
      <c r="N53" s="8"/>
      <c r="O53" s="8"/>
    </row>
    <row r="54" spans="1:15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G54" s="17">
        <v>0</v>
      </c>
      <c r="H54" s="7">
        <v>0</v>
      </c>
      <c r="I54" s="4">
        <f t="shared" si="0"/>
        <v>0</v>
      </c>
      <c r="J54" s="17">
        <v>0</v>
      </c>
      <c r="K54" s="17">
        <v>0</v>
      </c>
      <c r="L54" s="8"/>
      <c r="M54" s="8"/>
      <c r="N54" s="8"/>
      <c r="O54" s="8"/>
    </row>
    <row r="55" spans="1:15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G55" s="17">
        <v>9</v>
      </c>
      <c r="H55" s="7">
        <v>-6.5757544546004523</v>
      </c>
      <c r="I55" s="4">
        <f t="shared" si="0"/>
        <v>-0.73063938384449467</v>
      </c>
      <c r="J55" s="17">
        <v>50745.724005939614</v>
      </c>
      <c r="K55" s="17">
        <v>21.333333333333332</v>
      </c>
      <c r="L55" s="8"/>
      <c r="M55" s="8"/>
      <c r="N55" s="8"/>
      <c r="O55" s="8"/>
    </row>
    <row r="56" spans="1:15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G56" s="17">
        <v>2.9410600000000002</v>
      </c>
      <c r="H56" s="7">
        <v>0.44902000000000014</v>
      </c>
      <c r="I56" s="4">
        <f t="shared" si="0"/>
        <v>0.15267284584469548</v>
      </c>
      <c r="J56" s="17">
        <v>101000</v>
      </c>
      <c r="K56" s="17">
        <v>0.79999999999999993</v>
      </c>
      <c r="L56" s="8"/>
      <c r="M56" s="8"/>
      <c r="N56" s="8"/>
      <c r="O56" s="8"/>
    </row>
    <row r="57" spans="1:15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G57" s="17">
        <v>0</v>
      </c>
      <c r="H57" s="7">
        <v>-1.4939221985593101</v>
      </c>
      <c r="I57" s="4">
        <f t="shared" si="0"/>
        <v>0</v>
      </c>
      <c r="J57" s="17">
        <v>448176.65956779307</v>
      </c>
      <c r="K57" s="17">
        <v>0.33333333333333331</v>
      </c>
      <c r="L57" s="8"/>
      <c r="M57" s="8"/>
      <c r="N57" s="8"/>
      <c r="O57" s="8"/>
    </row>
    <row r="58" spans="1:15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17">
        <v>0</v>
      </c>
      <c r="H58" s="7">
        <v>0.28333333333333338</v>
      </c>
      <c r="I58" s="4">
        <f t="shared" si="0"/>
        <v>0</v>
      </c>
      <c r="J58" s="17">
        <v>90000</v>
      </c>
      <c r="K58" s="17">
        <v>1.1666666666666667</v>
      </c>
      <c r="L58" s="8"/>
      <c r="M58" s="8"/>
      <c r="N58" s="8"/>
      <c r="O58" s="8"/>
    </row>
    <row r="59" spans="1:15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17">
        <v>1.75</v>
      </c>
      <c r="H59" s="7">
        <v>1.24</v>
      </c>
      <c r="I59" s="4">
        <f t="shared" si="0"/>
        <v>0.70857142857142852</v>
      </c>
      <c r="J59" s="17">
        <v>90000</v>
      </c>
      <c r="K59" s="17">
        <v>0.56666666666666665</v>
      </c>
      <c r="L59" s="8"/>
      <c r="M59" s="8"/>
      <c r="N59" s="8"/>
      <c r="O59" s="8"/>
    </row>
    <row r="60" spans="1:15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17">
        <v>0</v>
      </c>
      <c r="H60" s="7">
        <v>0</v>
      </c>
      <c r="I60" s="4">
        <f t="shared" si="0"/>
        <v>0</v>
      </c>
      <c r="J60" s="17">
        <v>0</v>
      </c>
      <c r="K60" s="17">
        <v>0</v>
      </c>
      <c r="L60" s="8"/>
      <c r="M60" s="8"/>
      <c r="N60" s="8"/>
      <c r="O60" s="8"/>
    </row>
    <row r="61" spans="1:15" x14ac:dyDescent="0.35">
      <c r="A61" s="16" t="s">
        <v>121</v>
      </c>
      <c r="B61" s="16" t="s">
        <v>122</v>
      </c>
      <c r="C61" s="16" t="s">
        <v>122</v>
      </c>
      <c r="D61" s="26" t="s">
        <v>118</v>
      </c>
      <c r="E61" s="16" t="s">
        <v>122</v>
      </c>
      <c r="G61" s="17">
        <v>0</v>
      </c>
      <c r="H61" s="7">
        <v>0</v>
      </c>
      <c r="I61" s="4">
        <f t="shared" si="0"/>
        <v>0</v>
      </c>
      <c r="J61" s="17">
        <v>117684.4975</v>
      </c>
      <c r="K61" s="17">
        <v>5.2</v>
      </c>
      <c r="L61" s="8"/>
      <c r="M61" s="8"/>
      <c r="N61" s="8"/>
      <c r="O61" s="8"/>
    </row>
  </sheetData>
  <mergeCells count="1">
    <mergeCell ref="G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Actual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2026-05-18T15:39:27Z</dcterms:modified>
</cp:coreProperties>
</file>