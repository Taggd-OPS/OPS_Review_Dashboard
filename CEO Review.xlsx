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701" documentId="8_{231760F8-40C3-4E52-9138-CD9DD8E2170C}" xr6:coauthVersionLast="47" xr6:coauthVersionMax="47" xr10:uidLastSave="{4AFE4DC0-9F73-4A3F-A057-2DAE547ABBB7}"/>
  <bookViews>
    <workbookView xWindow="-110" yWindow="-110" windowWidth="19420" windowHeight="11500" activeTab="1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Actual!$A$2:$AL$61</definedName>
    <definedName name="_xlnm._FilterDatabase" localSheetId="0" hidden="1">Sheet1!$A$2:$BZ$61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R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J61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<sst xmlns="http://schemas.openxmlformats.org/spreadsheetml/2006/main" count="1080" uniqueCount="128">
  <si>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</si>
  <si>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</si>
  <si>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</si>
  <si>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</si>
  <si>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</si>
  <si>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</si>
  <si>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</si>
  <si>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</si>
  <si>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</si>
  <si>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</si>
  <si>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</si>
  <si>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</si>
  <si>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</si>
  <si>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</si>
  <si>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</si>
  <si>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</si>
  <si>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</si>
  <si>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</si>
  <si>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</si>
  <si>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</si>
  <si>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</si>
  <si>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</si>
  <si>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</si>
  <si>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</si>
  <si>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</si>
  <si>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</si>
  <si>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</si>
  <si>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</si>
  <si>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</si>
  <si>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</si>
  <si>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</si>
  <si>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</si>
  <si>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</si>
  <si>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</si>
  <si>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</si>
  <si>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</si>
  <si>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</si>
  <si>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</si>
  <si>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</si>
  <si>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</si>
  <si>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</si>
  <si>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</si>
  <si>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</si>
  <si>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</si>
  <si>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</si>
  <si>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</si>
  <si>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</si>
  <si>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</si>
  <si>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</si>
  <si>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</si>
  <si>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</si>
  <si>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</si>
  <si>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</si>
  <si>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</si>
  <si>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</si>
  <si>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</si>
  <si>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</si>
  <si>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</si>
  <si>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</si>
  <si>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</si>
  <si>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</si>
  <si>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</si>
  <si>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</si>
  <si>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</si>
  <si>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</si>
  <si>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</si>
  <si>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</si>
  <si>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</si>
  <si>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</si>
  <si>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</si>
  <si>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</si>
  <si>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</si>
  <si>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</si>
  <si>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</si>
  <si>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</si>
  <si>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</si>
  <si>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</si>
  <si>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</si>
  <si>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</si>
  <si>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</si>
  <si>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</si>
  <si>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</si>
  <si>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</si>
  <si>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</si>
  <si>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</si>
  <si>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</si>
  <si>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</si>
  <si>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</si>
  <si>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</si>
  <si>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</si>
  <si>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</si>
  <si>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</si>
  <si>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</si>
  <si>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</si>
  <si>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</si>
  <si>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</si>
  <si>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</si>
  <si>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</si>
  <si>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</si>
  <si>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</si>
  <si>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</si>
  <si>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</si>
  <si>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</si>
  <si>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</si>
  <si>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</si>
  <si>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</si>
  <si>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</si>
  <si>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</si>
  <si>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</si>
  <si>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</si>
  <si>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</si>
  <si>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</si>
  <si>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</si>
  <si>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</si>
  <si>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</si>
  <si>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</si>
  <si>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</si>
  <si>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</si>
  <si>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</si>
  <si>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</si>
  <si>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</si>
  <si>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</si>
  <si>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</si>
  <si>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</si>
  <si>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Forecast Revenue</t>
  </si>
  <si>
    <t>Actual Revenue</t>
  </si>
  <si>
    <t>May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</si>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</sst>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workbookViewId="0">
      <pane xSplit="1" ySplit="2" topLeftCell="D42" activePane="bottomRight" state="frozen"/>
      <selection pane="topRight" activeCell="B1" sqref="B1"/>
      <selection pane="bottomLeft" activeCell="A3" sqref="A3"/>
      <selection pane="bottomRight" activeCell="G1" sqref="G1:P61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9" t="s">
        <v>24</v>
      </c>
      <c r="H1" s="29"/>
      <c r="I1" s="29"/>
      <c r="J1" s="29"/>
      <c r="K1" s="29"/>
      <c r="L1" s="29"/>
      <c r="M1" s="29"/>
      <c r="N1" s="29"/>
      <c r="O1" s="29"/>
      <c r="P1" s="29"/>
      <c r="R1" s="29" t="s">
        <v>29</v>
      </c>
      <c r="S1" s="29"/>
      <c r="T1" s="29"/>
      <c r="U1" s="29"/>
      <c r="V1" s="29"/>
      <c r="W1" s="29"/>
      <c r="X1" s="29"/>
      <c r="Y1" s="29"/>
      <c r="Z1" s="29"/>
      <c r="AA1" s="29"/>
      <c r="AC1" s="29" t="s">
        <v>31</v>
      </c>
      <c r="AD1" s="29"/>
      <c r="AE1" s="29"/>
      <c r="AF1" s="29"/>
      <c r="AG1" s="29"/>
      <c r="AH1" s="29"/>
      <c r="AI1" s="29"/>
      <c r="AJ1" s="29"/>
      <c r="AK1" s="29"/>
      <c r="AL1" s="29"/>
      <c r="AN1" s="29" t="s">
        <v>32</v>
      </c>
      <c r="AO1" s="29"/>
      <c r="AP1" s="29"/>
      <c r="AQ1" s="29"/>
      <c r="AR1" s="29"/>
      <c r="AS1" s="29"/>
      <c r="AT1" s="29"/>
      <c r="AU1" s="29"/>
      <c r="AV1" s="29"/>
      <c r="AW1" s="29"/>
      <c r="AY1" s="30" t="s">
        <v>33</v>
      </c>
      <c r="AZ1" s="30"/>
      <c r="BA1" s="30"/>
      <c r="BB1" s="30"/>
      <c r="BC1" s="30"/>
      <c r="BD1" s="30"/>
      <c r="BE1" s="30"/>
      <c r="BF1" s="30"/>
      <c r="BG1" s="30"/>
      <c r="BH1" s="30"/>
      <c r="BJ1" s="29" t="s">
        <v>76</v>
      </c>
      <c r="BK1" s="29"/>
      <c r="BL1" s="29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1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240.4</v>
      </c>
      <c r="BA38" s="17">
        <f t="shared" si="7"/>
        <v>88.967750474779336</v>
      </c>
      <c r="BB38" s="4">
        <f t="shared" si="8"/>
        <v>0.37008215671705214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R60" s="28">
        <f>506+12</f>
        <v>518</v>
      </c>
      <c r="X60" s="17"/>
      <c r="AC60" s="16">
        <f>759+12</f>
        <v>771</v>
      </c>
      <c r="AH60">
        <v>0</v>
      </c>
      <c r="AI60" s="17"/>
      <c r="AN60" s="24">
        <f>1013+12</f>
        <v>1025</v>
      </c>
      <c r="AY60" s="17">
        <f t="shared" si="5"/>
        <v>2531</v>
      </c>
      <c r="AZ60" s="17">
        <f t="shared" si="6"/>
        <v>0</v>
      </c>
      <c r="BA60" s="18"/>
      <c r="BB60" s="22"/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8"/>
      <c r="H61" s="27">
        <v>25</v>
      </c>
      <c r="I61" s="27">
        <v>18.829519600000001</v>
      </c>
      <c r="J61" s="25">
        <f>(H61-I61)/H61</f>
        <v>0.24681921599999995</v>
      </c>
      <c r="K61">
        <v>117684.4975</v>
      </c>
      <c r="L61" s="24">
        <v>5.2</v>
      </c>
      <c r="R61" s="18"/>
      <c r="S61" s="18"/>
      <c r="T61" s="18"/>
      <c r="AD61" s="18"/>
      <c r="AE61" s="18"/>
      <c r="AO61" s="18"/>
      <c r="AZ61" s="17">
        <f t="shared" si="6"/>
        <v>25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L61"/>
  <sheetViews>
    <sheetView tabSelected="1" topLeftCell="B1" workbookViewId="0">
      <selection activeCell="G1" sqref="G1:P1"/>
    </sheetView>
  </sheetViews>
  <sheetFormatPr defaultRowHeight="14.5" x14ac:dyDescent="0.35"/>
  <cols>
    <col min="1" max="1" width="25.26953125" bestFit="1" customWidth="1"/>
    <col min="4" max="4" width="13.54296875" bestFit="1" customWidth="1"/>
    <col min="6" max="6" width="5.08984375" customWidth="1"/>
    <col min="7" max="7" width="15.7265625" customWidth="1"/>
    <col min="8" max="8" width="13.90625" customWidth="1"/>
    <col min="9" max="16" width="8.7265625" customWidth="1"/>
    <col min="18" max="18" width="15.7265625" bestFit="1" customWidth="1"/>
    <col min="19" max="19" width="13.90625" bestFit="1" customWidth="1"/>
    <col min="29" max="29" width="15.7265625" bestFit="1" customWidth="1"/>
  </cols>
  <sheetData>
    <row r="1" spans="1:38" x14ac:dyDescent="0.35">
      <c r="G1" s="29" t="s">
        <v>123</v>
      </c>
      <c r="H1" s="29"/>
      <c r="I1" s="29"/>
      <c r="J1" s="29"/>
      <c r="K1" s="29"/>
      <c r="L1" s="29"/>
      <c r="M1" s="29"/>
      <c r="N1" s="29"/>
      <c r="O1" s="29"/>
      <c r="P1" s="29"/>
      <c r="R1" s="29" t="s">
        <v>126</v>
      </c>
      <c r="S1" s="29"/>
      <c r="T1" s="29"/>
      <c r="U1" s="29"/>
      <c r="V1" s="29"/>
      <c r="W1" s="29"/>
      <c r="X1" s="29"/>
      <c r="Y1" s="29"/>
      <c r="Z1" s="29"/>
      <c r="AA1" s="29"/>
      <c r="AC1" s="29" t="s">
        <v>127</v>
      </c>
      <c r="AD1" s="29"/>
      <c r="AE1" s="29"/>
      <c r="AF1" s="29"/>
      <c r="AG1" s="29"/>
      <c r="AH1" s="29"/>
      <c r="AI1" s="29"/>
      <c r="AJ1" s="29"/>
      <c r="AK1" s="29"/>
      <c r="AL1" s="29"/>
    </row>
    <row r="2" spans="1:3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124</v>
      </c>
      <c r="H2" s="1" t="s">
        <v>125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R2" s="1" t="s">
        <v>124</v>
      </c>
      <c r="S2" s="1" t="s">
        <v>125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C2" s="1" t="s">
        <v>124</v>
      </c>
      <c r="AD2" s="1" t="s">
        <v>125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</row>
    <row r="3" spans="1:3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7">
        <v>4.3498168498168504</v>
      </c>
      <c r="R3" s="14">
        <v>167</v>
      </c>
      <c r="S3" s="17"/>
      <c r="T3" s="3"/>
      <c r="U3" s="4"/>
      <c r="V3" s="3"/>
      <c r="W3" s="17"/>
      <c r="X3" s="17"/>
      <c r="Y3" s="6"/>
      <c r="Z3" s="6"/>
      <c r="AA3" s="7"/>
      <c r="AC3" s="14">
        <v>188</v>
      </c>
      <c r="AD3" s="17"/>
      <c r="AE3" s="3"/>
      <c r="AF3" s="4"/>
      <c r="AG3" s="3"/>
      <c r="AH3" s="17"/>
      <c r="AI3" s="17"/>
      <c r="AJ3" s="6"/>
      <c r="AK3" s="6"/>
      <c r="AL3" s="7"/>
    </row>
    <row r="4" spans="1:3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2.4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7">
        <v>0</v>
      </c>
      <c r="R4" s="14">
        <v>6.6</v>
      </c>
      <c r="S4" s="17"/>
      <c r="T4" s="3"/>
      <c r="U4" s="4"/>
      <c r="V4" s="3"/>
      <c r="W4" s="17"/>
      <c r="X4" s="17"/>
      <c r="Y4" s="6"/>
      <c r="Z4" s="3"/>
      <c r="AA4" s="7"/>
      <c r="AC4" s="14">
        <v>1.02</v>
      </c>
      <c r="AD4" s="17"/>
      <c r="AE4" s="3"/>
      <c r="AF4" s="4"/>
      <c r="AG4" s="3"/>
      <c r="AH4" s="17"/>
      <c r="AI4" s="17"/>
      <c r="AJ4" s="6"/>
      <c r="AK4" s="3"/>
      <c r="AL4" s="7"/>
    </row>
    <row r="5" spans="1:3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7.5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7">
        <v>2.5332973999999999</v>
      </c>
      <c r="R5" s="14">
        <v>7.9985999999999997</v>
      </c>
      <c r="S5" s="17"/>
      <c r="T5" s="3"/>
      <c r="U5" s="4"/>
      <c r="V5" s="3"/>
      <c r="W5" s="17"/>
      <c r="X5" s="17"/>
      <c r="Y5" s="6"/>
      <c r="Z5" s="3"/>
      <c r="AA5" s="7"/>
      <c r="AC5" s="14">
        <v>5.5</v>
      </c>
      <c r="AD5" s="17"/>
      <c r="AE5" s="3"/>
      <c r="AF5" s="4"/>
      <c r="AG5" s="3"/>
      <c r="AH5" s="17"/>
      <c r="AI5" s="17"/>
      <c r="AJ5" s="6"/>
      <c r="AK5" s="3"/>
      <c r="AL5" s="7"/>
    </row>
    <row r="6" spans="1:3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7">
        <v>1.3417475728155339</v>
      </c>
      <c r="R6" s="14">
        <v>13.11</v>
      </c>
      <c r="S6" s="17"/>
      <c r="T6" s="3"/>
      <c r="U6" s="4"/>
      <c r="V6" s="3"/>
      <c r="W6" s="17"/>
      <c r="X6" s="17"/>
      <c r="Y6" s="6"/>
      <c r="Z6" s="3"/>
      <c r="AA6" s="7"/>
      <c r="AC6" s="14">
        <v>1.85</v>
      </c>
      <c r="AD6" s="17"/>
      <c r="AE6" s="3"/>
      <c r="AF6" s="4"/>
      <c r="AG6" s="3"/>
      <c r="AH6" s="17"/>
      <c r="AI6" s="17"/>
      <c r="AJ6" s="6"/>
      <c r="AK6" s="3"/>
      <c r="AL6" s="7"/>
    </row>
    <row r="7" spans="1:3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6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7">
        <v>1.2745666666666666</v>
      </c>
      <c r="R7" s="14">
        <v>6</v>
      </c>
      <c r="S7" s="17"/>
      <c r="T7" s="3"/>
      <c r="U7" s="4"/>
      <c r="V7" s="3"/>
      <c r="W7" s="17"/>
      <c r="X7" s="17"/>
      <c r="Y7" s="6"/>
      <c r="Z7" s="3"/>
      <c r="AA7" s="7"/>
      <c r="AC7" s="14">
        <v>7</v>
      </c>
      <c r="AD7" s="17"/>
      <c r="AE7" s="3"/>
      <c r="AF7" s="4"/>
      <c r="AG7" s="3"/>
      <c r="AH7" s="17"/>
      <c r="AI7" s="17"/>
      <c r="AJ7" s="6"/>
      <c r="AK7" s="3"/>
      <c r="AL7" s="7"/>
    </row>
    <row r="8" spans="1:3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7">
        <v>1.2146874999999999</v>
      </c>
      <c r="R8" s="14">
        <v>9.6</v>
      </c>
      <c r="S8" s="17"/>
      <c r="T8" s="3"/>
      <c r="U8" s="4"/>
      <c r="V8" s="3"/>
      <c r="W8" s="17"/>
      <c r="X8" s="17"/>
      <c r="Y8" s="6"/>
      <c r="Z8" s="3"/>
      <c r="AA8" s="7"/>
      <c r="AC8" s="14">
        <v>6.5</v>
      </c>
      <c r="AD8" s="17"/>
      <c r="AE8" s="3"/>
      <c r="AF8" s="4"/>
      <c r="AG8" s="3"/>
      <c r="AH8" s="17"/>
      <c r="AI8" s="17"/>
      <c r="AJ8" s="6"/>
      <c r="AK8" s="3"/>
      <c r="AL8" s="7"/>
    </row>
    <row r="9" spans="1:3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8.3000000000000007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7">
        <v>0.83599999999999997</v>
      </c>
      <c r="R9" s="14">
        <v>9</v>
      </c>
      <c r="S9" s="17"/>
      <c r="T9" s="3"/>
      <c r="U9" s="4"/>
      <c r="V9" s="3"/>
      <c r="W9" s="17"/>
      <c r="X9" s="17"/>
      <c r="Y9" s="6"/>
      <c r="Z9" s="3"/>
      <c r="AA9" s="7"/>
      <c r="AC9" s="14">
        <v>9.25</v>
      </c>
      <c r="AD9" s="17"/>
      <c r="AE9" s="3"/>
      <c r="AF9" s="4"/>
      <c r="AG9" s="3"/>
      <c r="AH9" s="17"/>
      <c r="AI9" s="17"/>
      <c r="AJ9" s="6"/>
      <c r="AK9" s="3"/>
      <c r="AL9" s="7"/>
    </row>
    <row r="10" spans="1:3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4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7">
        <v>1.6284562999999999</v>
      </c>
      <c r="R10" s="14">
        <v>2.7114332000000001</v>
      </c>
      <c r="S10" s="17"/>
      <c r="T10" s="3"/>
      <c r="U10" s="4"/>
      <c r="V10" s="3"/>
      <c r="W10" s="17"/>
      <c r="X10" s="17"/>
      <c r="Y10" s="6"/>
      <c r="Z10" s="3"/>
      <c r="AA10" s="7"/>
      <c r="AC10" s="14">
        <v>4.3313845999999998</v>
      </c>
      <c r="AD10" s="17"/>
      <c r="AE10" s="3"/>
      <c r="AF10" s="4"/>
      <c r="AG10" s="3"/>
      <c r="AH10" s="17"/>
      <c r="AI10" s="17"/>
      <c r="AJ10" s="6"/>
      <c r="AK10" s="3"/>
      <c r="AL10" s="7"/>
    </row>
    <row r="11" spans="1:3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14.3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7">
        <v>1.8106666666666664</v>
      </c>
      <c r="R11" s="14">
        <v>13.649999999999999</v>
      </c>
      <c r="S11" s="17"/>
      <c r="T11" s="3"/>
      <c r="U11" s="4"/>
      <c r="V11" s="3"/>
      <c r="W11" s="17"/>
      <c r="X11" s="17"/>
      <c r="Y11" s="6"/>
      <c r="Z11" s="3"/>
      <c r="AA11" s="7"/>
      <c r="AC11" s="14">
        <v>14.3</v>
      </c>
      <c r="AD11" s="17"/>
      <c r="AE11" s="3"/>
      <c r="AF11" s="4"/>
      <c r="AG11" s="3"/>
      <c r="AH11" s="17"/>
      <c r="AI11" s="17"/>
      <c r="AJ11" s="6"/>
      <c r="AK11" s="3"/>
      <c r="AL11" s="7"/>
    </row>
    <row r="12" spans="1:3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139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7">
        <v>3.8186813186813189</v>
      </c>
      <c r="R12" s="14">
        <v>117.71541000000001</v>
      </c>
      <c r="S12" s="17"/>
      <c r="T12" s="3"/>
      <c r="U12" s="4"/>
      <c r="V12" s="3"/>
      <c r="W12" s="17"/>
      <c r="X12" s="17"/>
      <c r="Y12" s="6"/>
      <c r="Z12" s="3"/>
      <c r="AA12" s="7"/>
      <c r="AC12" s="14">
        <v>117.71541000000001</v>
      </c>
      <c r="AD12" s="17"/>
      <c r="AE12" s="3"/>
      <c r="AF12" s="4"/>
      <c r="AG12" s="3"/>
      <c r="AH12" s="17"/>
      <c r="AI12" s="17"/>
      <c r="AJ12" s="6"/>
      <c r="AK12" s="3"/>
      <c r="AL12" s="7"/>
    </row>
    <row r="13" spans="1:3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4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7">
        <v>4.9283333333333337</v>
      </c>
      <c r="R13" s="14">
        <v>5</v>
      </c>
      <c r="S13" s="17"/>
      <c r="T13" s="3"/>
      <c r="U13" s="4"/>
      <c r="V13" s="3"/>
      <c r="W13" s="17"/>
      <c r="X13" s="17"/>
      <c r="Y13" s="6"/>
      <c r="Z13" s="3"/>
      <c r="AA13" s="7"/>
      <c r="AC13" s="14">
        <v>6</v>
      </c>
      <c r="AD13" s="17"/>
      <c r="AE13" s="3"/>
      <c r="AF13" s="4"/>
      <c r="AG13" s="3"/>
      <c r="AH13" s="17"/>
      <c r="AI13" s="17"/>
      <c r="AJ13" s="6"/>
      <c r="AK13" s="3"/>
      <c r="AL13" s="7"/>
    </row>
    <row r="14" spans="1:3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3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7">
        <v>0.1</v>
      </c>
      <c r="R14" s="14">
        <v>0</v>
      </c>
      <c r="S14" s="17"/>
      <c r="T14" s="3"/>
      <c r="U14" s="4"/>
      <c r="V14" s="3"/>
      <c r="W14" s="17"/>
      <c r="X14" s="17"/>
      <c r="Y14" s="6"/>
      <c r="Z14" s="3"/>
      <c r="AA14" s="7"/>
      <c r="AC14" s="14">
        <v>0</v>
      </c>
      <c r="AD14" s="17"/>
      <c r="AE14" s="3"/>
      <c r="AF14" s="4"/>
      <c r="AG14" s="3"/>
      <c r="AH14" s="17"/>
      <c r="AI14" s="17"/>
      <c r="AJ14" s="6"/>
      <c r="AK14" s="3"/>
      <c r="AL14" s="7"/>
    </row>
    <row r="15" spans="1:3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7">
        <v>0</v>
      </c>
      <c r="R15" s="14">
        <v>0</v>
      </c>
      <c r="S15" s="17"/>
      <c r="T15" s="3"/>
      <c r="U15" s="4"/>
      <c r="V15" s="3"/>
      <c r="W15" s="17"/>
      <c r="X15" s="17"/>
      <c r="Y15" s="6"/>
      <c r="Z15" s="3"/>
      <c r="AA15" s="7"/>
      <c r="AC15" s="14">
        <v>0</v>
      </c>
      <c r="AD15" s="17"/>
      <c r="AE15" s="3"/>
      <c r="AF15" s="4"/>
      <c r="AG15" s="3"/>
      <c r="AH15" s="17"/>
      <c r="AI15" s="17"/>
      <c r="AJ15" s="6"/>
      <c r="AK15" s="3"/>
      <c r="AL15" s="7"/>
    </row>
    <row r="16" spans="1:3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7">
        <v>2.2652816666666666</v>
      </c>
      <c r="R16" s="14">
        <v>4</v>
      </c>
      <c r="S16" s="17"/>
      <c r="T16" s="3"/>
      <c r="U16" s="4"/>
      <c r="V16" s="3"/>
      <c r="W16" s="17"/>
      <c r="X16" s="17"/>
      <c r="Y16" s="6"/>
      <c r="Z16" s="3"/>
      <c r="AA16" s="7"/>
      <c r="AC16" s="14">
        <v>5</v>
      </c>
      <c r="AD16" s="17"/>
      <c r="AE16" s="3"/>
      <c r="AF16" s="4"/>
      <c r="AG16" s="3"/>
      <c r="AH16" s="17"/>
      <c r="AI16" s="17"/>
      <c r="AJ16" s="6"/>
      <c r="AK16" s="3"/>
      <c r="AL16" s="7"/>
    </row>
    <row r="17" spans="1:3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129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7">
        <v>1.8414534459595959</v>
      </c>
      <c r="R17" s="14">
        <v>121</v>
      </c>
      <c r="S17" s="17"/>
      <c r="T17" s="3"/>
      <c r="U17" s="4"/>
      <c r="V17" s="3"/>
      <c r="W17" s="17"/>
      <c r="X17" s="17"/>
      <c r="Y17" s="6"/>
      <c r="Z17" s="3"/>
      <c r="AA17" s="7"/>
      <c r="AC17" s="14">
        <v>124</v>
      </c>
      <c r="AD17" s="17"/>
      <c r="AE17" s="3"/>
      <c r="AF17" s="4"/>
      <c r="AG17" s="3"/>
      <c r="AH17" s="17"/>
      <c r="AI17" s="17"/>
      <c r="AJ17" s="6"/>
      <c r="AK17" s="3"/>
      <c r="AL17" s="7"/>
    </row>
    <row r="18" spans="1:3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0.2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7">
        <v>8.4656759444444436</v>
      </c>
      <c r="R18" s="14">
        <v>25</v>
      </c>
      <c r="S18" s="17"/>
      <c r="T18" s="3"/>
      <c r="U18" s="4"/>
      <c r="V18" s="3"/>
      <c r="W18" s="17"/>
      <c r="X18" s="17"/>
      <c r="Y18" s="6"/>
      <c r="Z18" s="3"/>
      <c r="AA18" s="7"/>
      <c r="AC18" s="14">
        <v>45</v>
      </c>
      <c r="AD18" s="17"/>
      <c r="AE18" s="3"/>
      <c r="AF18" s="4"/>
      <c r="AG18" s="3"/>
      <c r="AH18" s="17"/>
      <c r="AI18" s="17"/>
      <c r="AJ18" s="6"/>
      <c r="AK18" s="3"/>
      <c r="AL18" s="7"/>
    </row>
    <row r="19" spans="1:3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23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7">
        <v>2.86625</v>
      </c>
      <c r="R19" s="14">
        <v>23</v>
      </c>
      <c r="S19" s="17"/>
      <c r="T19" s="3"/>
      <c r="U19" s="4"/>
      <c r="V19" s="3"/>
      <c r="W19" s="17"/>
      <c r="X19" s="17"/>
      <c r="Y19" s="6"/>
      <c r="Z19" s="3"/>
      <c r="AA19" s="7"/>
      <c r="AC19" s="14">
        <v>23</v>
      </c>
      <c r="AD19" s="17"/>
      <c r="AE19" s="3"/>
      <c r="AF19" s="4"/>
      <c r="AG19" s="3"/>
      <c r="AH19" s="17"/>
      <c r="AI19" s="17"/>
      <c r="AJ19" s="6"/>
      <c r="AK19" s="3"/>
      <c r="AL19" s="7"/>
    </row>
    <row r="20" spans="1:3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7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7">
        <v>2.5019809523809524</v>
      </c>
      <c r="R20" s="14">
        <v>12.190000000000001</v>
      </c>
      <c r="S20" s="17"/>
      <c r="T20" s="3"/>
      <c r="U20" s="4"/>
      <c r="V20" s="3"/>
      <c r="W20" s="17"/>
      <c r="X20" s="17"/>
      <c r="Y20" s="6"/>
      <c r="Z20" s="3"/>
      <c r="AA20" s="7"/>
      <c r="AC20" s="14">
        <v>7.09</v>
      </c>
      <c r="AD20" s="17"/>
      <c r="AE20" s="3"/>
      <c r="AF20" s="4"/>
      <c r="AG20" s="3"/>
      <c r="AH20" s="17"/>
      <c r="AI20" s="17"/>
      <c r="AJ20" s="6"/>
      <c r="AK20" s="3"/>
      <c r="AL20" s="7"/>
    </row>
    <row r="21" spans="1:3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7">
        <v>1.0554572946859904</v>
      </c>
      <c r="R21" s="14">
        <v>34.880000000000003</v>
      </c>
      <c r="S21" s="17"/>
      <c r="T21" s="3"/>
      <c r="U21" s="4"/>
      <c r="V21" s="3"/>
      <c r="W21" s="17"/>
      <c r="X21" s="17"/>
      <c r="Y21" s="6"/>
      <c r="Z21" s="3"/>
      <c r="AA21" s="7"/>
      <c r="AC21" s="14">
        <v>48.080000000000005</v>
      </c>
      <c r="AD21" s="17"/>
      <c r="AE21" s="3"/>
      <c r="AF21" s="4"/>
      <c r="AG21" s="3"/>
      <c r="AH21" s="17"/>
      <c r="AI21" s="17"/>
      <c r="AJ21" s="6"/>
      <c r="AK21" s="3"/>
      <c r="AL21" s="7"/>
    </row>
    <row r="22" spans="1:3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0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7">
        <v>0</v>
      </c>
      <c r="R22" s="14">
        <v>2.4849999999999999</v>
      </c>
      <c r="S22" s="17"/>
      <c r="T22" s="3"/>
      <c r="U22" s="4"/>
      <c r="V22" s="3"/>
      <c r="W22" s="17"/>
      <c r="X22" s="17"/>
      <c r="Y22" s="6"/>
      <c r="Z22" s="3"/>
      <c r="AA22" s="7"/>
      <c r="AC22" s="14">
        <v>2.16</v>
      </c>
      <c r="AD22" s="17"/>
      <c r="AE22" s="3"/>
      <c r="AF22" s="4"/>
      <c r="AG22" s="3"/>
      <c r="AH22" s="17"/>
      <c r="AI22" s="17"/>
      <c r="AJ22" s="6"/>
      <c r="AK22" s="3"/>
      <c r="AL22" s="7"/>
    </row>
    <row r="23" spans="1:3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1.2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7">
        <v>0.8948166666666667</v>
      </c>
      <c r="R23" s="14">
        <v>1</v>
      </c>
      <c r="S23" s="17"/>
      <c r="T23" s="3"/>
      <c r="U23" s="4"/>
      <c r="V23" s="3"/>
      <c r="W23" s="17"/>
      <c r="X23" s="17"/>
      <c r="Y23" s="6"/>
      <c r="Z23" s="3"/>
      <c r="AA23" s="7"/>
      <c r="AC23" s="14">
        <v>1</v>
      </c>
      <c r="AD23" s="17"/>
      <c r="AE23" s="3"/>
      <c r="AF23" s="4"/>
      <c r="AG23" s="3"/>
      <c r="AH23" s="17"/>
      <c r="AI23" s="17"/>
      <c r="AJ23" s="6"/>
      <c r="AK23" s="3"/>
      <c r="AL23" s="7"/>
    </row>
    <row r="24" spans="1:3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3.5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7">
        <v>1.3667279569892472</v>
      </c>
      <c r="R24" s="14">
        <v>2.8</v>
      </c>
      <c r="S24" s="17"/>
      <c r="T24" s="3"/>
      <c r="U24" s="4"/>
      <c r="V24" s="3"/>
      <c r="W24" s="17"/>
      <c r="X24" s="17"/>
      <c r="Y24" s="6"/>
      <c r="Z24" s="3"/>
      <c r="AA24" s="7"/>
      <c r="AC24" s="14">
        <v>8.26</v>
      </c>
      <c r="AD24" s="17"/>
      <c r="AE24" s="3"/>
      <c r="AF24" s="4"/>
      <c r="AG24" s="3"/>
      <c r="AH24" s="17"/>
      <c r="AI24" s="17"/>
      <c r="AJ24" s="6"/>
      <c r="AK24" s="3"/>
      <c r="AL24" s="7"/>
    </row>
    <row r="25" spans="1:3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7">
        <v>2.4596416666666667</v>
      </c>
      <c r="R25" s="14">
        <v>9.8000000000000007</v>
      </c>
      <c r="S25" s="17"/>
      <c r="T25" s="3"/>
      <c r="U25" s="4"/>
      <c r="V25" s="3"/>
      <c r="W25" s="17"/>
      <c r="X25" s="17"/>
      <c r="Y25" s="6"/>
      <c r="Z25" s="3"/>
      <c r="AA25" s="7"/>
      <c r="AC25" s="14">
        <v>9.6999999999999993</v>
      </c>
      <c r="AD25" s="17"/>
      <c r="AE25" s="3"/>
      <c r="AF25" s="4"/>
      <c r="AG25" s="3"/>
      <c r="AH25" s="17"/>
      <c r="AI25" s="17"/>
      <c r="AJ25" s="6"/>
      <c r="AK25" s="3"/>
      <c r="AL25" s="7"/>
    </row>
    <row r="26" spans="1:3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7">
        <v>0.94555843137254891</v>
      </c>
      <c r="R26" s="14">
        <v>12</v>
      </c>
      <c r="S26" s="17"/>
      <c r="T26" s="3"/>
      <c r="U26" s="4"/>
      <c r="V26" s="3"/>
      <c r="W26" s="17"/>
      <c r="X26" s="17"/>
      <c r="Y26" s="6"/>
      <c r="Z26" s="3"/>
      <c r="AA26" s="7"/>
      <c r="AC26" s="14">
        <v>12</v>
      </c>
      <c r="AD26" s="17"/>
      <c r="AE26" s="3"/>
      <c r="AF26" s="4"/>
      <c r="AG26" s="3"/>
      <c r="AH26" s="17"/>
      <c r="AI26" s="17"/>
      <c r="AJ26" s="6"/>
      <c r="AK26" s="3"/>
      <c r="AL26" s="7"/>
    </row>
    <row r="27" spans="1:3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7">
        <v>0</v>
      </c>
      <c r="R27" s="14">
        <v>0</v>
      </c>
      <c r="S27" s="17"/>
      <c r="T27" s="3"/>
      <c r="U27" s="4"/>
      <c r="V27" s="3"/>
      <c r="W27" s="17"/>
      <c r="X27" s="17"/>
      <c r="Y27" s="6"/>
      <c r="Z27" s="3"/>
      <c r="AA27" s="7"/>
      <c r="AC27" s="14">
        <v>0</v>
      </c>
      <c r="AD27" s="17"/>
      <c r="AE27" s="3"/>
      <c r="AF27" s="4"/>
      <c r="AG27" s="3"/>
      <c r="AH27" s="17"/>
      <c r="AI27" s="17"/>
      <c r="AJ27" s="6"/>
      <c r="AK27" s="3"/>
      <c r="AL27" s="7"/>
    </row>
    <row r="28" spans="1:3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14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7">
        <v>0.98200589970501451</v>
      </c>
      <c r="R28" s="14">
        <v>14.4</v>
      </c>
      <c r="S28" s="17"/>
      <c r="T28" s="3"/>
      <c r="U28" s="4"/>
      <c r="V28" s="3"/>
      <c r="W28" s="17"/>
      <c r="X28" s="17"/>
      <c r="Y28" s="6"/>
      <c r="Z28" s="3"/>
      <c r="AA28" s="7"/>
      <c r="AC28" s="14">
        <v>8.6</v>
      </c>
      <c r="AD28" s="17"/>
      <c r="AE28" s="3"/>
      <c r="AF28" s="4"/>
      <c r="AG28" s="3"/>
      <c r="AH28" s="17"/>
      <c r="AI28" s="17"/>
      <c r="AJ28" s="6"/>
      <c r="AK28" s="3"/>
      <c r="AL28" s="7"/>
    </row>
    <row r="29" spans="1:3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7.1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7">
        <v>1.0472616666666665</v>
      </c>
      <c r="R29" s="14">
        <v>6.48</v>
      </c>
      <c r="S29" s="17"/>
      <c r="T29" s="3"/>
      <c r="U29" s="4"/>
      <c r="V29" s="3"/>
      <c r="W29" s="17"/>
      <c r="X29" s="17"/>
      <c r="Y29" s="6"/>
      <c r="Z29" s="3"/>
      <c r="AA29" s="7"/>
      <c r="AC29" s="14">
        <v>6.8759999999999994</v>
      </c>
      <c r="AD29" s="17"/>
      <c r="AE29" s="3"/>
      <c r="AF29" s="4"/>
      <c r="AG29" s="3"/>
      <c r="AH29" s="17"/>
      <c r="AI29" s="17"/>
      <c r="AJ29" s="6"/>
      <c r="AK29" s="3"/>
      <c r="AL29" s="7"/>
    </row>
    <row r="30" spans="1:3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7">
        <v>0</v>
      </c>
      <c r="R30" s="14">
        <v>0</v>
      </c>
      <c r="S30" s="17"/>
      <c r="T30" s="3"/>
      <c r="U30" s="4"/>
      <c r="V30" s="3"/>
      <c r="W30" s="17"/>
      <c r="X30" s="17"/>
      <c r="Y30" s="6"/>
      <c r="Z30" s="3"/>
      <c r="AA30" s="7"/>
      <c r="AC30" s="14">
        <v>1.8</v>
      </c>
      <c r="AD30" s="17"/>
      <c r="AE30" s="3"/>
      <c r="AF30" s="4"/>
      <c r="AG30" s="3"/>
      <c r="AH30" s="17"/>
      <c r="AI30" s="17"/>
      <c r="AJ30" s="6"/>
      <c r="AK30" s="3"/>
      <c r="AL30" s="7"/>
    </row>
    <row r="31" spans="1:3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23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7">
        <v>0.97046413502109707</v>
      </c>
      <c r="R31" s="14">
        <v>28.8</v>
      </c>
      <c r="S31" s="17"/>
      <c r="T31" s="3"/>
      <c r="U31" s="4"/>
      <c r="V31" s="3"/>
      <c r="W31" s="17"/>
      <c r="X31" s="17"/>
      <c r="Y31" s="6"/>
      <c r="Z31" s="3"/>
      <c r="AA31" s="7"/>
      <c r="AC31" s="14">
        <v>13.7</v>
      </c>
      <c r="AD31" s="17"/>
      <c r="AE31" s="3"/>
      <c r="AF31" s="4"/>
      <c r="AG31" s="3"/>
      <c r="AH31" s="17"/>
      <c r="AI31" s="17"/>
      <c r="AJ31" s="6"/>
      <c r="AK31" s="3"/>
      <c r="AL31" s="7"/>
    </row>
    <row r="32" spans="1:3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20.8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7">
        <v>2.1102564102564103</v>
      </c>
      <c r="R32" s="14">
        <v>28.75</v>
      </c>
      <c r="S32" s="17"/>
      <c r="T32" s="3"/>
      <c r="U32" s="4"/>
      <c r="V32" s="3"/>
      <c r="W32" s="17"/>
      <c r="X32" s="17"/>
      <c r="Y32" s="6"/>
      <c r="Z32" s="3"/>
      <c r="AA32" s="7"/>
      <c r="AC32" s="14">
        <v>22.75</v>
      </c>
      <c r="AD32" s="17"/>
      <c r="AE32" s="3"/>
      <c r="AF32" s="4"/>
      <c r="AG32" s="3"/>
      <c r="AH32" s="17"/>
      <c r="AI32" s="17"/>
      <c r="AJ32" s="6"/>
      <c r="AK32" s="3"/>
      <c r="AL32" s="7"/>
    </row>
    <row r="33" spans="1:3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0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7">
        <v>0</v>
      </c>
      <c r="R33" s="14">
        <v>0</v>
      </c>
      <c r="S33" s="17"/>
      <c r="T33" s="3"/>
      <c r="U33" s="4"/>
      <c r="V33" s="3"/>
      <c r="W33" s="17"/>
      <c r="X33" s="17"/>
      <c r="Y33" s="6"/>
      <c r="Z33" s="3"/>
      <c r="AA33" s="7"/>
      <c r="AC33" s="14">
        <v>0</v>
      </c>
      <c r="AD33" s="17"/>
      <c r="AE33" s="3"/>
      <c r="AF33" s="4"/>
      <c r="AG33" s="3"/>
      <c r="AH33" s="17"/>
      <c r="AI33" s="17"/>
      <c r="AJ33" s="6"/>
      <c r="AK33" s="3"/>
      <c r="AL33" s="7"/>
    </row>
    <row r="34" spans="1:3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7">
        <v>0</v>
      </c>
      <c r="R34" s="14">
        <v>0</v>
      </c>
      <c r="S34" s="17"/>
      <c r="T34" s="3"/>
      <c r="U34" s="4"/>
      <c r="V34" s="3"/>
      <c r="W34" s="17"/>
      <c r="X34" s="17"/>
      <c r="Y34" s="6"/>
      <c r="Z34" s="3"/>
      <c r="AA34" s="7"/>
      <c r="AC34" s="14">
        <v>0</v>
      </c>
      <c r="AD34" s="17"/>
      <c r="AE34" s="3"/>
      <c r="AF34" s="4"/>
      <c r="AG34" s="3"/>
      <c r="AH34" s="17"/>
      <c r="AI34" s="17"/>
      <c r="AJ34" s="6"/>
      <c r="AK34" s="3"/>
      <c r="AL34" s="7"/>
    </row>
    <row r="35" spans="1:3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4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7">
        <v>1.2174603174603174</v>
      </c>
      <c r="R35" s="14">
        <v>2.7</v>
      </c>
      <c r="S35" s="17"/>
      <c r="T35" s="3"/>
      <c r="U35" s="4"/>
      <c r="V35" s="3"/>
      <c r="W35" s="17"/>
      <c r="X35" s="17"/>
      <c r="Y35" s="6"/>
      <c r="Z35" s="3"/>
      <c r="AA35" s="7"/>
      <c r="AC35" s="14">
        <v>1.1599999999999999</v>
      </c>
      <c r="AD35" s="17"/>
      <c r="AE35" s="3"/>
      <c r="AF35" s="4"/>
      <c r="AG35" s="3"/>
      <c r="AH35" s="17"/>
      <c r="AI35" s="17"/>
      <c r="AJ35" s="6"/>
      <c r="AK35" s="3"/>
      <c r="AL35" s="7"/>
    </row>
    <row r="36" spans="1:3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8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7">
        <v>1.6388979166666668</v>
      </c>
      <c r="R36" s="14">
        <v>8.3000000000000007</v>
      </c>
      <c r="S36" s="17"/>
      <c r="T36" s="3"/>
      <c r="U36" s="4"/>
      <c r="V36" s="3"/>
      <c r="W36" s="17"/>
      <c r="X36" s="17"/>
      <c r="Y36" s="6"/>
      <c r="Z36" s="3"/>
      <c r="AA36" s="7"/>
      <c r="AC36" s="14">
        <v>7.76</v>
      </c>
      <c r="AD36" s="17"/>
      <c r="AE36" s="3"/>
      <c r="AF36" s="4"/>
      <c r="AG36" s="3"/>
      <c r="AH36" s="17"/>
      <c r="AI36" s="17"/>
      <c r="AJ36" s="6"/>
      <c r="AK36" s="3"/>
      <c r="AL36" s="7"/>
    </row>
    <row r="37" spans="1:3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31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7">
        <v>1.6331372549019607</v>
      </c>
      <c r="R37" s="14">
        <v>24.3</v>
      </c>
      <c r="S37" s="17"/>
      <c r="T37" s="3"/>
      <c r="U37" s="4"/>
      <c r="V37" s="3"/>
      <c r="W37" s="17"/>
      <c r="X37" s="17"/>
      <c r="Y37" s="6"/>
      <c r="Z37" s="3"/>
      <c r="AA37" s="7"/>
      <c r="AC37" s="14">
        <v>21.8</v>
      </c>
      <c r="AD37" s="17"/>
      <c r="AE37" s="3"/>
      <c r="AF37" s="4"/>
      <c r="AG37" s="3"/>
      <c r="AH37" s="17"/>
      <c r="AI37" s="17"/>
      <c r="AJ37" s="6"/>
      <c r="AK37" s="3"/>
      <c r="AL37" s="7"/>
    </row>
    <row r="38" spans="1:3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12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7">
        <v>2.1904761904761907</v>
      </c>
      <c r="R38" s="14">
        <v>18</v>
      </c>
      <c r="S38" s="17"/>
      <c r="T38" s="3"/>
      <c r="U38" s="4"/>
      <c r="V38" s="3"/>
      <c r="W38" s="17"/>
      <c r="X38" s="17"/>
      <c r="Y38" s="6"/>
      <c r="Z38" s="3"/>
      <c r="AA38" s="7"/>
      <c r="AC38" s="14">
        <v>24.4</v>
      </c>
      <c r="AD38" s="17"/>
      <c r="AE38" s="3"/>
      <c r="AF38" s="4"/>
      <c r="AG38" s="3"/>
      <c r="AH38" s="17"/>
      <c r="AI38" s="17"/>
      <c r="AJ38" s="6"/>
      <c r="AK38" s="3"/>
      <c r="AL38" s="7"/>
    </row>
    <row r="39" spans="1:3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3.4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7">
        <v>2.6029176666666669</v>
      </c>
      <c r="R39" s="14">
        <v>7.3425019999999996</v>
      </c>
      <c r="S39" s="17"/>
      <c r="T39" s="3"/>
      <c r="U39" s="4"/>
      <c r="V39" s="3"/>
      <c r="W39" s="17"/>
      <c r="X39" s="17"/>
      <c r="Y39" s="6"/>
      <c r="Z39" s="3"/>
      <c r="AA39" s="7"/>
      <c r="AC39" s="14">
        <v>3.4450040000000004</v>
      </c>
      <c r="AD39" s="17"/>
      <c r="AE39" s="3"/>
      <c r="AF39" s="4"/>
      <c r="AG39" s="3"/>
      <c r="AH39" s="17"/>
      <c r="AI39" s="17"/>
      <c r="AJ39" s="6"/>
      <c r="AK39" s="3"/>
      <c r="AL39" s="7"/>
    </row>
    <row r="40" spans="1:3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3.6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7">
        <v>2.3077000430107528</v>
      </c>
      <c r="R40" s="14">
        <v>8.6</v>
      </c>
      <c r="S40" s="17"/>
      <c r="T40" s="3"/>
      <c r="U40" s="4"/>
      <c r="V40" s="3"/>
      <c r="W40" s="17"/>
      <c r="X40" s="17"/>
      <c r="Y40" s="6"/>
      <c r="Z40" s="3"/>
      <c r="AA40" s="7"/>
      <c r="AC40" s="14">
        <v>9.3000000000000007</v>
      </c>
      <c r="AD40" s="17"/>
      <c r="AE40" s="3"/>
      <c r="AF40" s="4"/>
      <c r="AG40" s="3"/>
      <c r="AH40" s="17"/>
      <c r="AI40" s="17"/>
      <c r="AJ40" s="6"/>
      <c r="AK40" s="3"/>
      <c r="AL40" s="7"/>
    </row>
    <row r="41" spans="1:3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7">
        <v>0</v>
      </c>
      <c r="R41" s="14">
        <v>0</v>
      </c>
      <c r="S41" s="17"/>
      <c r="T41" s="3"/>
      <c r="U41" s="4"/>
      <c r="V41" s="3"/>
      <c r="W41" s="17"/>
      <c r="X41" s="17"/>
      <c r="Y41" s="6"/>
      <c r="Z41" s="3"/>
      <c r="AA41" s="7"/>
      <c r="AC41" s="14">
        <v>0</v>
      </c>
      <c r="AD41" s="17"/>
      <c r="AE41" s="3"/>
      <c r="AF41" s="4"/>
      <c r="AG41" s="3"/>
      <c r="AH41" s="17"/>
      <c r="AI41" s="17"/>
      <c r="AJ41" s="6"/>
      <c r="AK41" s="3"/>
      <c r="AL41" s="7"/>
    </row>
    <row r="42" spans="1:3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10.199999999999999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7">
        <v>2.9510416666666659</v>
      </c>
      <c r="R42" s="14">
        <v>10.02</v>
      </c>
      <c r="S42" s="17"/>
      <c r="T42" s="3"/>
      <c r="U42" s="4"/>
      <c r="V42" s="3"/>
      <c r="W42" s="17"/>
      <c r="X42" s="17"/>
      <c r="Y42" s="6"/>
      <c r="Z42" s="3"/>
      <c r="AA42" s="7"/>
      <c r="AC42" s="14">
        <v>8.14</v>
      </c>
      <c r="AD42" s="17"/>
      <c r="AE42" s="3"/>
      <c r="AF42" s="4"/>
      <c r="AG42" s="3"/>
      <c r="AH42" s="17"/>
      <c r="AI42" s="17"/>
      <c r="AJ42" s="6"/>
      <c r="AK42" s="3"/>
      <c r="AL42" s="7"/>
    </row>
    <row r="43" spans="1:3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7">
        <v>0.33333333333333331</v>
      </c>
      <c r="R43" s="14">
        <v>0</v>
      </c>
      <c r="S43" s="17"/>
      <c r="T43" s="3"/>
      <c r="U43" s="4"/>
      <c r="V43" s="3"/>
      <c r="W43" s="17"/>
      <c r="X43" s="17"/>
      <c r="Y43" s="6"/>
      <c r="Z43" s="3"/>
      <c r="AA43" s="7"/>
      <c r="AC43" s="14">
        <v>1</v>
      </c>
      <c r="AD43" s="17"/>
      <c r="AE43" s="3"/>
      <c r="AF43" s="4"/>
      <c r="AG43" s="3"/>
      <c r="AH43" s="17"/>
      <c r="AI43" s="17"/>
      <c r="AJ43" s="6"/>
      <c r="AK43" s="3"/>
      <c r="AL43" s="7"/>
    </row>
    <row r="44" spans="1:3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3.3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7">
        <v>2.2062499999999998</v>
      </c>
      <c r="R44" s="14">
        <v>7.95</v>
      </c>
      <c r="S44" s="17"/>
      <c r="T44" s="3"/>
      <c r="U44" s="4"/>
      <c r="V44" s="3"/>
      <c r="W44" s="17"/>
      <c r="X44" s="17"/>
      <c r="Y44" s="6"/>
      <c r="Z44" s="3"/>
      <c r="AA44" s="7"/>
      <c r="AC44" s="14">
        <v>9</v>
      </c>
      <c r="AD44" s="17"/>
      <c r="AE44" s="3"/>
      <c r="AF44" s="4"/>
      <c r="AG44" s="3"/>
      <c r="AH44" s="17"/>
      <c r="AI44" s="17"/>
      <c r="AJ44" s="6"/>
      <c r="AK44" s="3"/>
      <c r="AL44" s="7"/>
    </row>
    <row r="45" spans="1:3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9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7">
        <v>2.9047555555555555</v>
      </c>
      <c r="R45" s="14">
        <v>9.0863999999999994</v>
      </c>
      <c r="S45" s="17"/>
      <c r="T45" s="3"/>
      <c r="U45" s="4"/>
      <c r="V45" s="3"/>
      <c r="W45" s="17"/>
      <c r="X45" s="17"/>
      <c r="Y45" s="6"/>
      <c r="Z45" s="3"/>
      <c r="AA45" s="7"/>
      <c r="AC45" s="14">
        <v>9.0863999999999994</v>
      </c>
      <c r="AD45" s="17"/>
      <c r="AE45" s="3"/>
      <c r="AF45" s="4"/>
      <c r="AG45" s="3"/>
      <c r="AH45" s="17"/>
      <c r="AI45" s="17"/>
      <c r="AJ45" s="6"/>
      <c r="AK45" s="3"/>
      <c r="AL45" s="7"/>
    </row>
    <row r="46" spans="1:3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6.5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7">
        <v>1.6966666666666668</v>
      </c>
      <c r="R46" s="14">
        <v>8.4</v>
      </c>
      <c r="S46" s="17"/>
      <c r="T46" s="3"/>
      <c r="U46" s="4"/>
      <c r="V46" s="3"/>
      <c r="W46" s="17"/>
      <c r="X46" s="17"/>
      <c r="Y46" s="6"/>
      <c r="Z46" s="3"/>
      <c r="AA46" s="7"/>
      <c r="AC46" s="14">
        <v>6.4</v>
      </c>
      <c r="AD46" s="17"/>
      <c r="AE46" s="3"/>
      <c r="AF46" s="4"/>
      <c r="AG46" s="3"/>
      <c r="AH46" s="17"/>
      <c r="AI46" s="17"/>
      <c r="AJ46" s="6"/>
      <c r="AK46" s="3"/>
      <c r="AL46" s="7"/>
    </row>
    <row r="47" spans="1:3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6.4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7">
        <v>1.7125166666666667</v>
      </c>
      <c r="R47" s="14">
        <v>2.33</v>
      </c>
      <c r="S47" s="17"/>
      <c r="T47" s="3"/>
      <c r="U47" s="4"/>
      <c r="V47" s="3"/>
      <c r="W47" s="17"/>
      <c r="X47" s="17"/>
      <c r="Y47" s="6"/>
      <c r="Z47" s="3"/>
      <c r="AA47" s="7"/>
      <c r="AC47" s="14">
        <v>1.35</v>
      </c>
      <c r="AD47" s="17"/>
      <c r="AE47" s="3"/>
      <c r="AF47" s="4"/>
      <c r="AG47" s="3"/>
      <c r="AH47" s="17"/>
      <c r="AI47" s="17"/>
      <c r="AJ47" s="6"/>
      <c r="AK47" s="3"/>
      <c r="AL47" s="7"/>
    </row>
    <row r="48" spans="1:3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7">
        <v>2.7543859649122808</v>
      </c>
      <c r="R48" s="14">
        <v>45.8</v>
      </c>
      <c r="S48" s="17"/>
      <c r="T48" s="3"/>
      <c r="U48" s="4"/>
      <c r="V48" s="3"/>
      <c r="W48" s="17"/>
      <c r="X48" s="17"/>
      <c r="Y48" s="6"/>
      <c r="Z48" s="3"/>
      <c r="AA48" s="7"/>
      <c r="AC48" s="14">
        <v>45.8</v>
      </c>
      <c r="AD48" s="17"/>
      <c r="AE48" s="3"/>
      <c r="AF48" s="4"/>
      <c r="AG48" s="3"/>
      <c r="AH48" s="17"/>
      <c r="AI48" s="17"/>
      <c r="AJ48" s="6"/>
      <c r="AK48" s="3"/>
      <c r="AL48" s="7"/>
    </row>
    <row r="49" spans="1:3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7">
        <v>1.5</v>
      </c>
      <c r="R49" s="14">
        <v>25</v>
      </c>
      <c r="S49" s="17"/>
      <c r="T49" s="3"/>
      <c r="U49" s="4"/>
      <c r="V49" s="3"/>
      <c r="W49" s="17"/>
      <c r="X49" s="17"/>
      <c r="Y49" s="6"/>
      <c r="Z49" s="3"/>
      <c r="AA49" s="7"/>
      <c r="AC49" s="14">
        <v>30</v>
      </c>
      <c r="AD49" s="17"/>
      <c r="AE49" s="3"/>
      <c r="AF49" s="4"/>
      <c r="AG49" s="3"/>
      <c r="AH49" s="17"/>
      <c r="AI49" s="17"/>
      <c r="AJ49" s="6"/>
      <c r="AK49" s="3"/>
      <c r="AL49" s="7"/>
    </row>
    <row r="50" spans="1:3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8.9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7">
        <v>7.2004300000000008</v>
      </c>
      <c r="R50" s="14">
        <v>10.32</v>
      </c>
      <c r="S50" s="17"/>
      <c r="T50" s="3"/>
      <c r="U50" s="4"/>
      <c r="V50" s="3"/>
      <c r="W50" s="17"/>
      <c r="X50" s="17"/>
      <c r="Y50" s="6"/>
      <c r="Z50" s="3"/>
      <c r="AA50" s="7"/>
      <c r="AC50" s="14">
        <v>3.37</v>
      </c>
      <c r="AD50" s="17"/>
      <c r="AE50" s="3"/>
      <c r="AF50" s="4"/>
      <c r="AG50" s="3"/>
      <c r="AH50" s="17"/>
      <c r="AI50" s="17"/>
      <c r="AJ50" s="6"/>
      <c r="AK50" s="3"/>
      <c r="AL50" s="7"/>
    </row>
    <row r="51" spans="1:3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8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7">
        <v>0</v>
      </c>
      <c r="R51" s="14">
        <v>0</v>
      </c>
      <c r="S51" s="17"/>
      <c r="T51" s="3"/>
      <c r="U51" s="4"/>
      <c r="V51" s="3"/>
      <c r="W51" s="17"/>
      <c r="X51" s="17"/>
      <c r="Y51" s="6"/>
      <c r="Z51" s="3"/>
      <c r="AA51" s="7"/>
      <c r="AC51" s="14">
        <v>0</v>
      </c>
      <c r="AD51" s="17"/>
      <c r="AE51" s="3"/>
      <c r="AF51" s="4"/>
      <c r="AG51" s="3"/>
      <c r="AH51" s="17"/>
      <c r="AI51" s="17"/>
      <c r="AJ51" s="6"/>
      <c r="AK51" s="3"/>
      <c r="AL51" s="7"/>
    </row>
    <row r="52" spans="1:3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0.6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7">
        <v>2</v>
      </c>
      <c r="R52" s="14">
        <v>0</v>
      </c>
      <c r="S52" s="17"/>
      <c r="T52" s="3"/>
      <c r="U52" s="4"/>
      <c r="V52" s="3"/>
      <c r="W52" s="17"/>
      <c r="X52" s="17"/>
      <c r="Y52" s="6"/>
      <c r="Z52" s="3"/>
      <c r="AA52" s="7"/>
      <c r="AC52" s="14">
        <v>5</v>
      </c>
      <c r="AD52" s="17"/>
      <c r="AE52" s="3"/>
      <c r="AF52" s="4"/>
      <c r="AG52" s="3"/>
      <c r="AH52" s="17"/>
      <c r="AI52" s="17"/>
      <c r="AJ52" s="6"/>
      <c r="AK52" s="3"/>
      <c r="AL52" s="7"/>
    </row>
    <row r="53" spans="1:3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7">
        <v>0</v>
      </c>
      <c r="R53" s="14">
        <v>0</v>
      </c>
      <c r="S53" s="17"/>
      <c r="T53" s="3"/>
      <c r="U53" s="4"/>
      <c r="V53" s="3"/>
      <c r="W53" s="17"/>
      <c r="X53" s="17"/>
      <c r="Y53" s="6"/>
      <c r="Z53" s="3"/>
      <c r="AA53" s="7"/>
      <c r="AC53" s="14">
        <v>0</v>
      </c>
      <c r="AD53" s="17"/>
      <c r="AE53" s="3"/>
      <c r="AF53" s="4"/>
      <c r="AG53" s="3"/>
      <c r="AH53" s="17"/>
      <c r="AI53" s="17"/>
      <c r="AJ53" s="6"/>
      <c r="AK53" s="3"/>
      <c r="AL53" s="7"/>
    </row>
    <row r="54" spans="1:3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7">
        <v>0</v>
      </c>
      <c r="R54" s="14">
        <v>0</v>
      </c>
      <c r="S54" s="17"/>
      <c r="T54" s="3"/>
      <c r="U54" s="4"/>
      <c r="V54" s="3"/>
      <c r="W54" s="17"/>
      <c r="X54" s="17"/>
      <c r="Y54" s="6"/>
      <c r="Z54" s="3"/>
      <c r="AA54" s="7"/>
      <c r="AC54" s="14">
        <v>0</v>
      </c>
      <c r="AD54" s="17"/>
      <c r="AE54" s="3"/>
      <c r="AF54" s="4"/>
      <c r="AG54" s="3"/>
      <c r="AH54" s="17"/>
      <c r="AI54" s="17"/>
      <c r="AJ54" s="6"/>
      <c r="AK54" s="3"/>
      <c r="AL54" s="7"/>
    </row>
    <row r="55" spans="1:3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4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7">
        <v>0.21039603960396042</v>
      </c>
      <c r="R55" s="14">
        <v>2.25</v>
      </c>
      <c r="S55" s="17"/>
      <c r="T55" s="3"/>
      <c r="U55" s="4"/>
      <c r="V55" s="3"/>
      <c r="W55" s="17"/>
      <c r="X55" s="17"/>
      <c r="Y55" s="6"/>
      <c r="Z55" s="3"/>
      <c r="AA55" s="7"/>
      <c r="AC55" s="14">
        <v>1.5</v>
      </c>
      <c r="AD55" s="17"/>
      <c r="AE55" s="3"/>
      <c r="AF55" s="4"/>
      <c r="AG55" s="3"/>
      <c r="AH55" s="17"/>
      <c r="AI55" s="17"/>
      <c r="AJ55" s="6"/>
      <c r="AK55" s="3"/>
      <c r="AL55" s="7"/>
    </row>
    <row r="56" spans="1:3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1.5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7">
        <v>0</v>
      </c>
      <c r="R56" s="14">
        <v>0.83</v>
      </c>
      <c r="S56" s="17"/>
      <c r="T56" s="3"/>
      <c r="U56" s="4"/>
      <c r="V56" s="3"/>
      <c r="W56" s="17"/>
      <c r="X56" s="17"/>
      <c r="Y56" s="6"/>
      <c r="Z56" s="3"/>
      <c r="AA56" s="7"/>
      <c r="AC56" s="14">
        <v>0</v>
      </c>
      <c r="AD56" s="17"/>
      <c r="AE56" s="3"/>
      <c r="AF56" s="4"/>
      <c r="AG56" s="3"/>
      <c r="AH56" s="17"/>
      <c r="AI56" s="17"/>
      <c r="AJ56" s="6"/>
      <c r="AK56" s="3"/>
      <c r="AL56" s="7"/>
    </row>
    <row r="57" spans="1:3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0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7">
        <v>0</v>
      </c>
      <c r="R57" s="14">
        <v>0</v>
      </c>
      <c r="S57" s="17"/>
      <c r="T57" s="3"/>
      <c r="U57" s="4"/>
      <c r="V57" s="3"/>
      <c r="W57" s="17"/>
      <c r="X57" s="17"/>
      <c r="Y57" s="6"/>
      <c r="Z57" s="3"/>
      <c r="AA57" s="7"/>
      <c r="AC57" s="14">
        <v>0</v>
      </c>
      <c r="AD57" s="17"/>
      <c r="AE57" s="3"/>
      <c r="AF57" s="4"/>
      <c r="AG57" s="3"/>
      <c r="AH57" s="17"/>
      <c r="AI57" s="17"/>
      <c r="AJ57" s="6"/>
      <c r="AK57" s="3"/>
      <c r="AL57" s="7"/>
    </row>
    <row r="58" spans="1:3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7">
        <v>0.38095238095238093</v>
      </c>
      <c r="R58" s="3">
        <v>2</v>
      </c>
      <c r="S58" s="17"/>
      <c r="T58" s="3"/>
      <c r="U58" s="4"/>
      <c r="V58" s="3"/>
      <c r="W58" s="17"/>
      <c r="X58" s="17"/>
      <c r="Y58" s="6"/>
      <c r="Z58" s="3"/>
      <c r="AA58" s="7"/>
      <c r="AC58" s="14">
        <v>2</v>
      </c>
      <c r="AD58" s="17"/>
      <c r="AE58" s="3"/>
      <c r="AF58" s="4"/>
      <c r="AG58" s="3"/>
      <c r="AH58" s="17"/>
      <c r="AI58" s="17"/>
      <c r="AJ58" s="6"/>
      <c r="AK58" s="3"/>
      <c r="AL58" s="7"/>
    </row>
    <row r="59" spans="1:3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7">
        <v>1.2500000000000002</v>
      </c>
      <c r="R59" s="3">
        <v>1.75</v>
      </c>
      <c r="S59" s="17"/>
      <c r="T59" s="3"/>
      <c r="U59" s="4"/>
      <c r="V59" s="3"/>
      <c r="W59" s="17"/>
      <c r="X59" s="17"/>
      <c r="Y59" s="6"/>
      <c r="Z59" s="3"/>
      <c r="AA59" s="7"/>
      <c r="AC59" s="14">
        <v>1.75</v>
      </c>
      <c r="AD59" s="17"/>
      <c r="AE59" s="3"/>
      <c r="AF59" s="4"/>
      <c r="AG59" s="3"/>
      <c r="AH59" s="17"/>
      <c r="AI59" s="17"/>
      <c r="AJ59" s="6"/>
      <c r="AK59" s="3"/>
      <c r="AL59" s="7"/>
    </row>
    <row r="60" spans="1:3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v>0</v>
      </c>
      <c r="H60" s="17">
        <v>0</v>
      </c>
      <c r="I60" s="3">
        <v>0</v>
      </c>
      <c r="J60" s="4">
        <f t="shared" si="0"/>
        <v>0</v>
      </c>
      <c r="K60" s="16"/>
      <c r="L60" s="24">
        <v>0</v>
      </c>
      <c r="M60" s="17"/>
      <c r="R60" s="23">
        <v>0</v>
      </c>
      <c r="S60" s="17"/>
      <c r="T60" s="3"/>
      <c r="U60" s="4"/>
      <c r="V60" s="16"/>
      <c r="W60" s="24"/>
      <c r="X60" s="17"/>
      <c r="AC60" s="14">
        <v>0</v>
      </c>
      <c r="AD60" s="17"/>
      <c r="AE60" s="3"/>
      <c r="AF60" s="4"/>
      <c r="AG60" s="16"/>
      <c r="AH60" s="24"/>
      <c r="AI60" s="17"/>
    </row>
    <row r="61" spans="1:3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4">
        <v>5.2</v>
      </c>
      <c r="R61" s="18">
        <v>12.5</v>
      </c>
      <c r="S61" s="17"/>
      <c r="T61" s="3"/>
      <c r="U61" s="4"/>
      <c r="W61" s="24"/>
      <c r="AC61" s="14">
        <v>12.5</v>
      </c>
      <c r="AD61" s="17"/>
      <c r="AE61" s="3"/>
      <c r="AF61" s="4"/>
      <c r="AH61" s="24"/>
    </row>
  </sheetData>
  <mergeCells count="3">
    <mergeCell ref="G1:P1"/>
    <mergeCell ref="R1:AA1"/>
    <mergeCell ref="AC1:A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2026-05-19T09:29:05Z</dcterms:modified>
</cp:coreProperties>
</file>